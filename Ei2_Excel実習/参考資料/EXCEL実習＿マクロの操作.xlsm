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58" codeName="{3D1A710C-6663-3D7B-7F91-EC182F24A4B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locust\17 Ei\Ei2_Excel実習\"/>
    </mc:Choice>
  </mc:AlternateContent>
  <xr:revisionPtr revIDLastSave="0" documentId="13_ncr:1_{E2C67B06-699A-40EC-A92F-6726FB02D7F0}" xr6:coauthVersionLast="36" xr6:coauthVersionMax="36" xr10:uidLastSave="{00000000-0000-0000-0000-000000000000}"/>
  <bookViews>
    <workbookView xWindow="-120" yWindow="-120" windowWidth="20730" windowHeight="11160" xr2:uid="{00000000-000D-0000-FFFF-FFFF00000000}"/>
  </bookViews>
  <sheets>
    <sheet name="自動記録" sheetId="2" r:id="rId1"/>
    <sheet name="課題用" sheetId="4" r:id="rId2"/>
    <sheet name="Sheet1" sheetId="5" r:id="rId3"/>
  </sheets>
  <calcPr calcId="191029"/>
</workbook>
</file>

<file path=xl/calcChain.xml><?xml version="1.0" encoding="utf-8"?>
<calcChain xmlns="http://schemas.openxmlformats.org/spreadsheetml/2006/main">
  <c r="N11" i="2" l="1"/>
  <c r="M11" i="2"/>
  <c r="N10" i="2"/>
  <c r="M10" i="2"/>
  <c r="N9" i="2"/>
  <c r="M9" i="2"/>
  <c r="N8" i="2"/>
  <c r="M8" i="2"/>
  <c r="N7" i="2"/>
  <c r="M7" i="2"/>
  <c r="N6" i="2"/>
  <c r="M6" i="2"/>
  <c r="N5" i="2"/>
  <c r="M5" i="2"/>
  <c r="N4" i="2"/>
  <c r="M4" i="2"/>
  <c r="J6" i="2"/>
  <c r="J11" i="2"/>
  <c r="J10" i="2"/>
  <c r="J9" i="2"/>
  <c r="J8" i="2"/>
  <c r="J7" i="2"/>
  <c r="J5" i="2"/>
  <c r="J4" i="2"/>
  <c r="I4" i="2"/>
  <c r="I11" i="2"/>
  <c r="I10" i="2"/>
  <c r="I9" i="2"/>
  <c r="I8" i="2"/>
  <c r="I7" i="2"/>
  <c r="I6" i="2"/>
  <c r="I5" i="2"/>
  <c r="C14" i="4" l="1"/>
</calcChain>
</file>

<file path=xl/sharedStrings.xml><?xml version="1.0" encoding="utf-8"?>
<sst xmlns="http://schemas.openxmlformats.org/spreadsheetml/2006/main" count="72" uniqueCount="46">
  <si>
    <t>月別契約数</t>
    <rPh sb="0" eb="1">
      <t>ツキ</t>
    </rPh>
    <rPh sb="1" eb="2">
      <t>ベツ</t>
    </rPh>
    <rPh sb="2" eb="4">
      <t>ケイヤク</t>
    </rPh>
    <rPh sb="4" eb="5">
      <t>スウ</t>
    </rPh>
    <phoneticPr fontId="1"/>
  </si>
  <si>
    <t>合計</t>
    <rPh sb="0" eb="2">
      <t>ゴウケイ</t>
    </rPh>
    <phoneticPr fontId="1"/>
  </si>
  <si>
    <t>順位</t>
    <rPh sb="0" eb="2">
      <t>ジュンイ</t>
    </rPh>
    <phoneticPr fontId="1"/>
  </si>
  <si>
    <t>大島</t>
    <rPh sb="0" eb="2">
      <t>オオシマ</t>
    </rPh>
    <phoneticPr fontId="1"/>
  </si>
  <si>
    <t>渡辺</t>
    <rPh sb="0" eb="2">
      <t>ワタナベ</t>
    </rPh>
    <phoneticPr fontId="1"/>
  </si>
  <si>
    <t>柏木</t>
    <rPh sb="0" eb="2">
      <t>カシワギ</t>
    </rPh>
    <phoneticPr fontId="1"/>
  </si>
  <si>
    <t>指原</t>
    <rPh sb="0" eb="2">
      <t>サシハラ</t>
    </rPh>
    <phoneticPr fontId="1"/>
  </si>
  <si>
    <t>篠田</t>
    <rPh sb="0" eb="2">
      <t>シノダ</t>
    </rPh>
    <phoneticPr fontId="1"/>
  </si>
  <si>
    <t>高橋</t>
    <rPh sb="0" eb="2">
      <t>タカハシ</t>
    </rPh>
    <phoneticPr fontId="1"/>
  </si>
  <si>
    <t>小嶋</t>
    <rPh sb="0" eb="2">
      <t>コジマ</t>
    </rPh>
    <phoneticPr fontId="1"/>
  </si>
  <si>
    <t>板野</t>
    <rPh sb="0" eb="2">
      <t>イタノ</t>
    </rPh>
    <phoneticPr fontId="1"/>
  </si>
  <si>
    <t>4月</t>
    <rPh sb="1" eb="2">
      <t>ガツ</t>
    </rPh>
    <phoneticPr fontId="1"/>
  </si>
  <si>
    <t>5月</t>
    <rPh sb="1" eb="2">
      <t>ガツ</t>
    </rPh>
    <phoneticPr fontId="1"/>
  </si>
  <si>
    <t>6月</t>
    <rPh sb="1" eb="2">
      <t>ガツ</t>
    </rPh>
    <phoneticPr fontId="1"/>
  </si>
  <si>
    <t>7月</t>
    <rPh sb="1" eb="2">
      <t>ガツ</t>
    </rPh>
    <phoneticPr fontId="1"/>
  </si>
  <si>
    <t>8月</t>
    <rPh sb="1" eb="2">
      <t>ガツ</t>
    </rPh>
    <phoneticPr fontId="1"/>
  </si>
  <si>
    <t>9月</t>
    <rPh sb="1" eb="2">
      <t>ガツ</t>
    </rPh>
    <phoneticPr fontId="1"/>
  </si>
  <si>
    <t>氏名</t>
    <rPh sb="0" eb="2">
      <t>シメイ</t>
    </rPh>
    <phoneticPr fontId="1"/>
  </si>
  <si>
    <t>↑ここに名前を入れたら、その人の業績が表示されるようにする。</t>
    <rPh sb="4" eb="6">
      <t>ナマエ</t>
    </rPh>
    <rPh sb="7" eb="8">
      <t>イ</t>
    </rPh>
    <rPh sb="14" eb="15">
      <t>ヒト</t>
    </rPh>
    <rPh sb="16" eb="18">
      <t>ギョウセキ</t>
    </rPh>
    <rPh sb="19" eb="21">
      <t>ヒョウジ</t>
    </rPh>
    <phoneticPr fontId="1"/>
  </si>
  <si>
    <t>＝Vlookup　を使おう</t>
    <rPh sb="10" eb="11">
      <t>ツカ</t>
    </rPh>
    <phoneticPr fontId="1"/>
  </si>
  <si>
    <t>INDIRECT</t>
    <phoneticPr fontId="1"/>
  </si>
  <si>
    <t>ADDRESS</t>
    <phoneticPr fontId="1"/>
  </si>
  <si>
    <t>MATCH</t>
    <phoneticPr fontId="1"/>
  </si>
  <si>
    <t>ROW</t>
    <phoneticPr fontId="1"/>
  </si>
  <si>
    <t>COLUMN　</t>
    <phoneticPr fontId="1"/>
  </si>
  <si>
    <t>ヒント</t>
    <phoneticPr fontId="1"/>
  </si>
  <si>
    <t>この関数を組み合わせて</t>
    <rPh sb="2" eb="4">
      <t>カンスウ</t>
    </rPh>
    <rPh sb="5" eb="6">
      <t>ク</t>
    </rPh>
    <rPh sb="7" eb="8">
      <t>ア</t>
    </rPh>
    <phoneticPr fontId="1"/>
  </si>
  <si>
    <t>番号と月を入力すると氏名と月成績が表示されるようにする</t>
    <rPh sb="0" eb="2">
      <t>バンゴウ</t>
    </rPh>
    <rPh sb="3" eb="4">
      <t>ツキ</t>
    </rPh>
    <rPh sb="5" eb="7">
      <t>ニュウリョク</t>
    </rPh>
    <rPh sb="10" eb="12">
      <t>シメイ</t>
    </rPh>
    <rPh sb="13" eb="14">
      <t>ツキ</t>
    </rPh>
    <rPh sb="14" eb="16">
      <t>セイセキ</t>
    </rPh>
    <rPh sb="17" eb="19">
      <t>ヒョウジ</t>
    </rPh>
    <phoneticPr fontId="1"/>
  </si>
  <si>
    <t>グラフの作成</t>
    <rPh sb="4" eb="6">
      <t>サクセイ</t>
    </rPh>
    <phoneticPr fontId="1"/>
  </si>
  <si>
    <t>①月別の各人の成績比較</t>
    <rPh sb="1" eb="3">
      <t>ツキベツ</t>
    </rPh>
    <rPh sb="4" eb="6">
      <t>カクジン</t>
    </rPh>
    <rPh sb="7" eb="9">
      <t>セイセキ</t>
    </rPh>
    <rPh sb="9" eb="11">
      <t>ヒカク</t>
    </rPh>
    <phoneticPr fontId="1"/>
  </si>
  <si>
    <t>②半年間の成績の移り変わり</t>
    <rPh sb="1" eb="4">
      <t>ハントシカン</t>
    </rPh>
    <rPh sb="5" eb="7">
      <t>セイセキ</t>
    </rPh>
    <rPh sb="8" eb="9">
      <t>ウツ</t>
    </rPh>
    <rPh sb="10" eb="11">
      <t>カ</t>
    </rPh>
    <phoneticPr fontId="1"/>
  </si>
  <si>
    <t>適するグラフ形式は？</t>
    <rPh sb="0" eb="1">
      <t>テキ</t>
    </rPh>
    <rPh sb="6" eb="8">
      <t>ケイシキ</t>
    </rPh>
    <phoneticPr fontId="1"/>
  </si>
  <si>
    <t>合計</t>
    <rPh sb="0" eb="2">
      <t>ゴウケイ</t>
    </rPh>
    <phoneticPr fontId="1"/>
  </si>
  <si>
    <t>=SUM　を使おう</t>
    <rPh sb="6" eb="7">
      <t>ツカ</t>
    </rPh>
    <phoneticPr fontId="1"/>
  </si>
  <si>
    <t>順位　</t>
    <rPh sb="0" eb="2">
      <t>ジュンイ</t>
    </rPh>
    <phoneticPr fontId="1"/>
  </si>
  <si>
    <t>=RANK  を使おう</t>
    <rPh sb="8" eb="9">
      <t>ツカ</t>
    </rPh>
    <phoneticPr fontId="1"/>
  </si>
  <si>
    <t>=INDEX($A$4:$A$11,MATCH(B14,$B$4:$B$11,0))</t>
    <phoneticPr fontId="1"/>
  </si>
  <si>
    <t>=INDEX</t>
    <phoneticPr fontId="1"/>
  </si>
  <si>
    <t>=MATCH</t>
    <phoneticPr fontId="1"/>
  </si>
  <si>
    <t>相対セル参照</t>
    <rPh sb="0" eb="2">
      <t>ソウタイ</t>
    </rPh>
    <rPh sb="4" eb="6">
      <t>サンショウ</t>
    </rPh>
    <phoneticPr fontId="1"/>
  </si>
  <si>
    <t>絶対セル参照</t>
    <rPh sb="0" eb="2">
      <t>ゼッタイ</t>
    </rPh>
    <rPh sb="4" eb="6">
      <t>サンショウ</t>
    </rPh>
    <phoneticPr fontId="1"/>
  </si>
  <si>
    <t>大島</t>
    <rPh sb="0" eb="2">
      <t>ダイトウ</t>
    </rPh>
    <phoneticPr fontId="1"/>
  </si>
  <si>
    <t>小嶋</t>
    <rPh sb="0" eb="2">
      <t>オジマ</t>
    </rPh>
    <phoneticPr fontId="1"/>
  </si>
  <si>
    <t>=INDIRECT(ADDRESS(MATCH($B$14,$B$4:$B$11,0)+ROW($B$3),COLUMN(H3),1))</t>
    <phoneticPr fontId="1"/>
  </si>
  <si>
    <t>列の非表示　 再表示ボタンを作りなさい</t>
    <rPh sb="0" eb="1">
      <t>レツ</t>
    </rPh>
    <rPh sb="2" eb="5">
      <t>ヒヒョウジ</t>
    </rPh>
    <rPh sb="7" eb="10">
      <t>サイヒョウジ</t>
    </rPh>
    <rPh sb="14" eb="15">
      <t>ツク</t>
    </rPh>
    <phoneticPr fontId="1"/>
  </si>
  <si>
    <t xml:space="preserve"> 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</si>
</sst>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##&quot;月&quot;"/>
  </numFmts>
  <fonts count="5" x14ac:knownFonts="1"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b/>
      <sz val="14"/>
      <name val="ＭＳ Ｐゴシック"/>
      <family val="3"/>
      <charset val="128"/>
    </font>
    <font>
      <sz val="11"/>
      <color theme="0"/>
      <name val="ＭＳ Ｐゴシック"/>
      <family val="3"/>
      <charset val="128"/>
    </font>
    <font>
      <sz val="11"/>
      <color indexed="13"/>
      <name val="ＭＳ Ｐ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26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Border="1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0" xfId="0" applyBorder="1">
      <alignment vertical="center"/>
    </xf>
    <xf numFmtId="176" fontId="0" fillId="2" borderId="1" xfId="0" applyNumberFormat="1" applyFill="1" applyBorder="1" applyAlignment="1">
      <alignment horizontal="center" vertical="center"/>
    </xf>
    <xf numFmtId="0" fontId="0" fillId="0" borderId="0" xfId="0" quotePrefix="1">
      <alignment vertical="center"/>
    </xf>
    <xf numFmtId="0" fontId="0" fillId="0" borderId="3" xfId="0" applyFill="1" applyBorder="1">
      <alignment vertical="center"/>
    </xf>
    <xf numFmtId="0" fontId="3" fillId="0" borderId="0" xfId="0" quotePrefix="1" applyFont="1">
      <alignment vertical="center"/>
    </xf>
    <xf numFmtId="0" fontId="0" fillId="0" borderId="3" xfId="0" applyBorder="1">
      <alignment vertical="center"/>
    </xf>
    <xf numFmtId="0" fontId="0" fillId="0" borderId="0" xfId="0" quotePrefix="1" applyBorder="1">
      <alignment vertical="center"/>
    </xf>
    <xf numFmtId="0" fontId="3" fillId="0" borderId="0" xfId="0" applyFont="1">
      <alignment vertical="center"/>
    </xf>
    <xf numFmtId="0" fontId="3" fillId="0" borderId="1" xfId="0" applyFont="1" applyBorder="1" applyAlignment="1">
      <alignment horizontal="center" vertical="center"/>
    </xf>
    <xf numFmtId="0" fontId="3" fillId="0" borderId="4" xfId="0" quotePrefix="1" applyFont="1" applyBorder="1">
      <alignment vertical="center"/>
    </xf>
    <xf numFmtId="0" fontId="3" fillId="0" borderId="5" xfId="0" applyFont="1" applyBorder="1">
      <alignment vertical="center"/>
    </xf>
    <xf numFmtId="0" fontId="3" fillId="0" borderId="6" xfId="0" quotePrefix="1" applyFont="1" applyBorder="1">
      <alignment vertical="center"/>
    </xf>
    <xf numFmtId="0" fontId="3" fillId="0" borderId="7" xfId="0" applyFont="1" applyBorder="1">
      <alignment vertical="center"/>
    </xf>
    <xf numFmtId="0" fontId="3" fillId="0" borderId="8" xfId="0" quotePrefix="1" applyFont="1" applyBorder="1">
      <alignment vertical="center"/>
    </xf>
    <xf numFmtId="0" fontId="3" fillId="0" borderId="9" xfId="0" applyFont="1" applyBorder="1">
      <alignment vertical="center"/>
    </xf>
    <xf numFmtId="0" fontId="3" fillId="0" borderId="10" xfId="0" quotePrefix="1" applyFont="1" applyBorder="1">
      <alignment vertical="center"/>
    </xf>
    <xf numFmtId="0" fontId="3" fillId="0" borderId="11" xfId="0" applyFont="1" applyBorder="1">
      <alignment vertical="center"/>
    </xf>
    <xf numFmtId="0" fontId="3" fillId="0" borderId="12" xfId="0" quotePrefix="1" applyFont="1" applyBorder="1">
      <alignment vertical="center"/>
    </xf>
    <xf numFmtId="0" fontId="3" fillId="0" borderId="13" xfId="0" applyFont="1" applyBorder="1">
      <alignment vertical="center"/>
    </xf>
    <xf numFmtId="0" fontId="4" fillId="0" borderId="0" xfId="0" applyFont="1">
      <alignment vertical="center"/>
    </xf>
    <xf numFmtId="0" fontId="2" fillId="0" borderId="0" xfId="0" applyFont="1" applyAlignment="1">
      <alignment horizontal="center" vertical="center"/>
    </xf>
    <xf numFmtId="0" fontId="0" fillId="0" borderId="2" xfId="0" applyBorder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Q19"/>
  <sheetViews>
    <sheetView tabSelected="1" workbookViewId="0">
      <selection activeCell="U21" sqref="U21"/>
    </sheetView>
  </sheetViews>
  <sheetFormatPr defaultRowHeight="13.5" x14ac:dyDescent="0.15"/>
  <cols>
    <col min="1" max="1" width="4.5" customWidth="1"/>
    <col min="2" max="2" width="10.25" customWidth="1"/>
    <col min="3" max="10" width="6.625" customWidth="1"/>
    <col min="12" max="12" width="6" customWidth="1"/>
  </cols>
  <sheetData>
    <row r="1" spans="1:17" ht="17.25" x14ac:dyDescent="0.15">
      <c r="B1" s="24" t="s">
        <v>0</v>
      </c>
      <c r="C1" s="24"/>
      <c r="D1" s="24"/>
      <c r="E1" s="24"/>
      <c r="F1" s="24"/>
      <c r="G1" s="24"/>
      <c r="H1" s="24"/>
      <c r="K1" t="s">
        <v>45</v>
      </c>
    </row>
    <row r="2" spans="1:17" x14ac:dyDescent="0.15">
      <c r="B2" s="25"/>
      <c r="C2" s="25"/>
      <c r="D2" s="25"/>
      <c r="E2" s="25"/>
      <c r="F2" s="25"/>
      <c r="G2" s="25"/>
      <c r="H2" s="25"/>
      <c r="L2" s="4"/>
      <c r="Q2" t="s">
        <v>44</v>
      </c>
    </row>
    <row r="3" spans="1:17" ht="21.95" customHeight="1" x14ac:dyDescent="0.15">
      <c r="A3" s="3"/>
      <c r="B3" s="3" t="s">
        <v>17</v>
      </c>
      <c r="C3" s="3" t="s">
        <v>11</v>
      </c>
      <c r="D3" s="3" t="s">
        <v>12</v>
      </c>
      <c r="E3" s="3" t="s">
        <v>13</v>
      </c>
      <c r="F3" s="3" t="s">
        <v>14</v>
      </c>
      <c r="G3" s="3" t="s">
        <v>15</v>
      </c>
      <c r="H3" s="3" t="s">
        <v>16</v>
      </c>
      <c r="I3" s="3" t="s">
        <v>1</v>
      </c>
      <c r="J3" s="3" t="s">
        <v>2</v>
      </c>
      <c r="L3" s="3"/>
      <c r="M3" s="3" t="s">
        <v>17</v>
      </c>
      <c r="N3" s="5">
        <v>4</v>
      </c>
    </row>
    <row r="4" spans="1:17" ht="21.95" customHeight="1" x14ac:dyDescent="0.15">
      <c r="A4" s="1">
        <v>1</v>
      </c>
      <c r="B4" s="1" t="s">
        <v>41</v>
      </c>
      <c r="C4" s="2">
        <v>9</v>
      </c>
      <c r="D4" s="2">
        <v>7</v>
      </c>
      <c r="E4" s="2">
        <v>11</v>
      </c>
      <c r="F4" s="2">
        <v>6</v>
      </c>
      <c r="G4" s="2">
        <v>8</v>
      </c>
      <c r="H4" s="2">
        <v>9</v>
      </c>
      <c r="I4" s="2">
        <f>SUM(C4:H4)</f>
        <v>50</v>
      </c>
      <c r="J4" s="2">
        <f>RANK(I4,$I$4:$I$11)</f>
        <v>4</v>
      </c>
      <c r="L4" s="1">
        <v>1</v>
      </c>
      <c r="M4" s="1" t="str">
        <f>VLOOKUP(L4,$A$4:$J$11,2)</f>
        <v>大島</v>
      </c>
      <c r="N4" s="1">
        <f>VLOOKUP(L4,$A$4:$J$11,$N$3-1)</f>
        <v>9</v>
      </c>
    </row>
    <row r="5" spans="1:17" ht="21.95" customHeight="1" x14ac:dyDescent="0.15">
      <c r="A5" s="1">
        <v>2</v>
      </c>
      <c r="B5" s="1" t="s">
        <v>4</v>
      </c>
      <c r="C5" s="2">
        <v>7</v>
      </c>
      <c r="D5" s="2">
        <v>5</v>
      </c>
      <c r="E5" s="2">
        <v>6</v>
      </c>
      <c r="F5" s="2">
        <v>9</v>
      </c>
      <c r="G5" s="2">
        <v>3</v>
      </c>
      <c r="H5" s="2">
        <v>12</v>
      </c>
      <c r="I5" s="2">
        <f t="shared" ref="I5:I11" si="0">SUM(C5:H5)</f>
        <v>42</v>
      </c>
      <c r="J5" s="2">
        <f t="shared" ref="J5:J11" si="1">RANK(I5,$I$4:$I$11)</f>
        <v>7</v>
      </c>
      <c r="L5" s="1">
        <v>2</v>
      </c>
      <c r="M5" s="1" t="str">
        <f t="shared" ref="M5:M11" si="2">VLOOKUP(L5,$A$4:$J$11,2)</f>
        <v>渡辺</v>
      </c>
      <c r="N5" s="1">
        <f t="shared" ref="N5:N11" si="3">VLOOKUP(L5,$A$4:$J$11,$N$3-1)</f>
        <v>7</v>
      </c>
    </row>
    <row r="6" spans="1:17" ht="21.95" customHeight="1" x14ac:dyDescent="0.15">
      <c r="A6" s="1">
        <v>3</v>
      </c>
      <c r="B6" s="1" t="s">
        <v>5</v>
      </c>
      <c r="C6" s="2">
        <v>11</v>
      </c>
      <c r="D6" s="2">
        <v>8</v>
      </c>
      <c r="E6" s="2">
        <v>7</v>
      </c>
      <c r="F6" s="2">
        <v>12</v>
      </c>
      <c r="G6" s="2">
        <v>11</v>
      </c>
      <c r="H6" s="2">
        <v>13</v>
      </c>
      <c r="I6" s="2">
        <f t="shared" si="0"/>
        <v>62</v>
      </c>
      <c r="J6" s="2">
        <f>RANK(I6,$I$4:$I$11)</f>
        <v>2</v>
      </c>
      <c r="L6" s="1">
        <v>3</v>
      </c>
      <c r="M6" s="1" t="str">
        <f t="shared" si="2"/>
        <v>柏木</v>
      </c>
      <c r="N6" s="1">
        <f t="shared" si="3"/>
        <v>11</v>
      </c>
    </row>
    <row r="7" spans="1:17" ht="21.95" customHeight="1" x14ac:dyDescent="0.15">
      <c r="A7" s="1">
        <v>4</v>
      </c>
      <c r="B7" s="1" t="s">
        <v>6</v>
      </c>
      <c r="C7" s="2">
        <v>4</v>
      </c>
      <c r="D7" s="2">
        <v>2</v>
      </c>
      <c r="E7" s="2">
        <v>3</v>
      </c>
      <c r="F7" s="2">
        <v>4</v>
      </c>
      <c r="G7" s="2">
        <v>4</v>
      </c>
      <c r="H7" s="2">
        <v>5</v>
      </c>
      <c r="I7" s="2">
        <f t="shared" si="0"/>
        <v>22</v>
      </c>
      <c r="J7" s="2">
        <f t="shared" si="1"/>
        <v>8</v>
      </c>
      <c r="L7" s="1">
        <v>4</v>
      </c>
      <c r="M7" s="1" t="str">
        <f t="shared" si="2"/>
        <v>指原</v>
      </c>
      <c r="N7" s="1">
        <f t="shared" si="3"/>
        <v>4</v>
      </c>
    </row>
    <row r="8" spans="1:17" ht="21.95" customHeight="1" x14ac:dyDescent="0.15">
      <c r="A8" s="1">
        <v>5</v>
      </c>
      <c r="B8" s="1" t="s">
        <v>7</v>
      </c>
      <c r="C8" s="2">
        <v>8</v>
      </c>
      <c r="D8" s="2">
        <v>10</v>
      </c>
      <c r="E8" s="2">
        <v>7</v>
      </c>
      <c r="F8" s="2">
        <v>8</v>
      </c>
      <c r="G8" s="2">
        <v>7</v>
      </c>
      <c r="H8" s="2">
        <v>8</v>
      </c>
      <c r="I8" s="2">
        <f t="shared" si="0"/>
        <v>48</v>
      </c>
      <c r="J8" s="2">
        <f t="shared" si="1"/>
        <v>5</v>
      </c>
      <c r="L8" s="1">
        <v>5</v>
      </c>
      <c r="M8" s="1" t="str">
        <f t="shared" si="2"/>
        <v>篠田</v>
      </c>
      <c r="N8" s="1">
        <f t="shared" si="3"/>
        <v>8</v>
      </c>
    </row>
    <row r="9" spans="1:17" ht="21.95" customHeight="1" x14ac:dyDescent="0.15">
      <c r="A9" s="1">
        <v>6</v>
      </c>
      <c r="B9" s="1" t="s">
        <v>8</v>
      </c>
      <c r="C9" s="2">
        <v>10</v>
      </c>
      <c r="D9" s="2">
        <v>8</v>
      </c>
      <c r="E9" s="2">
        <v>9</v>
      </c>
      <c r="F9" s="2">
        <v>11</v>
      </c>
      <c r="G9" s="2">
        <v>8</v>
      </c>
      <c r="H9" s="2">
        <v>7</v>
      </c>
      <c r="I9" s="2">
        <f t="shared" si="0"/>
        <v>53</v>
      </c>
      <c r="J9" s="2">
        <f t="shared" si="1"/>
        <v>3</v>
      </c>
      <c r="L9" s="1">
        <v>6</v>
      </c>
      <c r="M9" s="1" t="str">
        <f t="shared" si="2"/>
        <v>高橋</v>
      </c>
      <c r="N9" s="1">
        <f t="shared" si="3"/>
        <v>10</v>
      </c>
    </row>
    <row r="10" spans="1:17" ht="21.95" customHeight="1" x14ac:dyDescent="0.15">
      <c r="A10" s="1">
        <v>7</v>
      </c>
      <c r="B10" s="1" t="s">
        <v>42</v>
      </c>
      <c r="C10" s="2">
        <v>7</v>
      </c>
      <c r="D10" s="2">
        <v>8</v>
      </c>
      <c r="E10" s="2">
        <v>7</v>
      </c>
      <c r="F10" s="2">
        <v>8</v>
      </c>
      <c r="G10" s="2">
        <v>7</v>
      </c>
      <c r="H10" s="2">
        <v>6</v>
      </c>
      <c r="I10" s="2">
        <f t="shared" si="0"/>
        <v>43</v>
      </c>
      <c r="J10" s="2">
        <f t="shared" si="1"/>
        <v>6</v>
      </c>
      <c r="L10" s="1">
        <v>7</v>
      </c>
      <c r="M10" s="1" t="str">
        <f t="shared" si="2"/>
        <v>小嶋</v>
      </c>
      <c r="N10" s="1">
        <f t="shared" si="3"/>
        <v>7</v>
      </c>
    </row>
    <row r="11" spans="1:17" ht="21.95" customHeight="1" x14ac:dyDescent="0.15">
      <c r="A11" s="1">
        <v>8</v>
      </c>
      <c r="B11" s="1" t="s">
        <v>10</v>
      </c>
      <c r="C11" s="2">
        <v>10</v>
      </c>
      <c r="D11" s="2">
        <v>9</v>
      </c>
      <c r="E11" s="2">
        <v>11</v>
      </c>
      <c r="F11" s="2">
        <v>13</v>
      </c>
      <c r="G11" s="2">
        <v>12</v>
      </c>
      <c r="H11" s="2">
        <v>14</v>
      </c>
      <c r="I11" s="2">
        <f t="shared" si="0"/>
        <v>69</v>
      </c>
      <c r="J11" s="2">
        <f t="shared" si="1"/>
        <v>1</v>
      </c>
      <c r="L11" s="1">
        <v>8</v>
      </c>
      <c r="M11" s="1" t="str">
        <f t="shared" si="2"/>
        <v>板野</v>
      </c>
      <c r="N11" s="1">
        <f t="shared" si="3"/>
        <v>10</v>
      </c>
    </row>
    <row r="12" spans="1:17" ht="39" customHeight="1" x14ac:dyDescent="0.15"/>
    <row r="13" spans="1:17" x14ac:dyDescent="0.15">
      <c r="H13" s="4" t="s">
        <v>32</v>
      </c>
      <c r="I13" s="10" t="s">
        <v>33</v>
      </c>
      <c r="J13" s="4"/>
      <c r="L13" t="s">
        <v>27</v>
      </c>
    </row>
    <row r="14" spans="1:17" x14ac:dyDescent="0.15">
      <c r="H14" s="4" t="s">
        <v>34</v>
      </c>
      <c r="I14" s="10" t="s">
        <v>35</v>
      </c>
      <c r="J14" s="4"/>
      <c r="L14" s="6" t="s">
        <v>19</v>
      </c>
    </row>
    <row r="16" spans="1:17" x14ac:dyDescent="0.15">
      <c r="H16" t="s">
        <v>39</v>
      </c>
    </row>
    <row r="17" spans="8:15" x14ac:dyDescent="0.15">
      <c r="H17" t="s">
        <v>40</v>
      </c>
      <c r="L17" t="s">
        <v>28</v>
      </c>
      <c r="O17" t="s">
        <v>31</v>
      </c>
    </row>
    <row r="18" spans="8:15" x14ac:dyDescent="0.15">
      <c r="L18" t="s">
        <v>29</v>
      </c>
    </row>
    <row r="19" spans="8:15" x14ac:dyDescent="0.15">
      <c r="L19" t="s">
        <v>30</v>
      </c>
    </row>
  </sheetData>
  <sortState ref="A4:J11">
    <sortCondition ref="A4:A11"/>
  </sortState>
  <mergeCells count="2">
    <mergeCell ref="B1:H1"/>
    <mergeCell ref="B2:H2"/>
  </mergeCells>
  <phoneticPr fontId="1"/>
  <pageMargins left="0.75" right="0.75" top="1" bottom="1" header="0.51200000000000001" footer="0.51200000000000001"/>
  <pageSetup paperSize="9" orientation="portrait" horizontalDpi="300" verticalDpi="30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O39"/>
  <sheetViews>
    <sheetView workbookViewId="0">
      <selection activeCell="E16" sqref="E16"/>
    </sheetView>
  </sheetViews>
  <sheetFormatPr defaultRowHeight="13.5" x14ac:dyDescent="0.15"/>
  <cols>
    <col min="1" max="1" width="4.5" customWidth="1"/>
    <col min="2" max="2" width="10.25" customWidth="1"/>
    <col min="3" max="10" width="6.625" customWidth="1"/>
  </cols>
  <sheetData>
    <row r="1" spans="1:15" ht="17.25" x14ac:dyDescent="0.15">
      <c r="B1" s="24" t="s">
        <v>0</v>
      </c>
      <c r="C1" s="24"/>
      <c r="D1" s="24"/>
      <c r="E1" s="24"/>
      <c r="F1" s="24"/>
      <c r="G1" s="24"/>
      <c r="H1" s="24"/>
    </row>
    <row r="2" spans="1:15" x14ac:dyDescent="0.15">
      <c r="B2" s="25"/>
      <c r="C2" s="25"/>
      <c r="D2" s="25"/>
      <c r="E2" s="25"/>
      <c r="F2" s="25"/>
      <c r="G2" s="25"/>
      <c r="H2" s="25"/>
    </row>
    <row r="3" spans="1:15" ht="21.75" customHeight="1" x14ac:dyDescent="0.15">
      <c r="A3" s="3"/>
      <c r="B3" s="3" t="s">
        <v>17</v>
      </c>
      <c r="C3" s="3" t="s">
        <v>11</v>
      </c>
      <c r="D3" s="3" t="s">
        <v>12</v>
      </c>
      <c r="E3" s="3" t="s">
        <v>13</v>
      </c>
      <c r="F3" s="3" t="s">
        <v>14</v>
      </c>
      <c r="G3" s="3" t="s">
        <v>15</v>
      </c>
      <c r="H3" s="3" t="s">
        <v>16</v>
      </c>
      <c r="I3" s="3" t="s">
        <v>1</v>
      </c>
      <c r="J3" s="3" t="s">
        <v>2</v>
      </c>
      <c r="K3" s="9"/>
      <c r="L3" s="4"/>
      <c r="M3" s="4"/>
      <c r="N3" s="4"/>
      <c r="O3" s="4"/>
    </row>
    <row r="4" spans="1:15" ht="21.75" customHeight="1" x14ac:dyDescent="0.15">
      <c r="A4" s="1">
        <v>1</v>
      </c>
      <c r="B4" s="1" t="s">
        <v>3</v>
      </c>
      <c r="C4" s="2">
        <v>9</v>
      </c>
      <c r="D4" s="2">
        <v>7</v>
      </c>
      <c r="E4" s="2">
        <v>11</v>
      </c>
      <c r="F4" s="2">
        <v>6</v>
      </c>
      <c r="G4" s="2">
        <v>8</v>
      </c>
      <c r="H4" s="2">
        <v>9</v>
      </c>
      <c r="I4" s="2"/>
      <c r="J4" s="2"/>
      <c r="K4" s="7"/>
      <c r="O4" s="4"/>
    </row>
    <row r="5" spans="1:15" ht="21.75" customHeight="1" x14ac:dyDescent="0.15">
      <c r="A5" s="1">
        <v>2</v>
      </c>
      <c r="B5" s="1" t="s">
        <v>4</v>
      </c>
      <c r="C5" s="2">
        <v>7</v>
      </c>
      <c r="D5" s="2">
        <v>5</v>
      </c>
      <c r="E5" s="2">
        <v>6</v>
      </c>
      <c r="F5" s="2">
        <v>9</v>
      </c>
      <c r="G5" s="2">
        <v>3</v>
      </c>
      <c r="H5" s="2">
        <v>12</v>
      </c>
      <c r="I5" s="2"/>
      <c r="J5" s="2"/>
      <c r="K5" s="7"/>
      <c r="O5" s="4"/>
    </row>
    <row r="6" spans="1:15" ht="21.75" customHeight="1" x14ac:dyDescent="0.15">
      <c r="A6" s="1">
        <v>3</v>
      </c>
      <c r="B6" s="1" t="s">
        <v>5</v>
      </c>
      <c r="C6" s="2">
        <v>11</v>
      </c>
      <c r="D6" s="2">
        <v>8</v>
      </c>
      <c r="E6" s="2">
        <v>7</v>
      </c>
      <c r="F6" s="2">
        <v>12</v>
      </c>
      <c r="G6" s="2">
        <v>11</v>
      </c>
      <c r="H6" s="2">
        <v>13</v>
      </c>
      <c r="I6" s="2"/>
      <c r="J6" s="2"/>
      <c r="K6" s="7"/>
      <c r="L6" s="4"/>
      <c r="M6" s="4"/>
      <c r="N6" s="4"/>
      <c r="O6" s="4"/>
    </row>
    <row r="7" spans="1:15" ht="21.75" customHeight="1" x14ac:dyDescent="0.15">
      <c r="A7" s="1">
        <v>4</v>
      </c>
      <c r="B7" s="1" t="s">
        <v>6</v>
      </c>
      <c r="C7" s="2">
        <v>4</v>
      </c>
      <c r="D7" s="2">
        <v>2</v>
      </c>
      <c r="E7" s="2">
        <v>3</v>
      </c>
      <c r="F7" s="2">
        <v>4</v>
      </c>
      <c r="G7" s="2">
        <v>4</v>
      </c>
      <c r="H7" s="2">
        <v>5</v>
      </c>
      <c r="I7" s="2"/>
      <c r="J7" s="2"/>
      <c r="K7" s="7"/>
      <c r="L7" s="4"/>
      <c r="M7" s="4"/>
      <c r="N7" s="4"/>
      <c r="O7" s="4"/>
    </row>
    <row r="8" spans="1:15" ht="21.75" customHeight="1" x14ac:dyDescent="0.15">
      <c r="A8" s="1">
        <v>5</v>
      </c>
      <c r="B8" s="1" t="s">
        <v>7</v>
      </c>
      <c r="C8" s="2">
        <v>8</v>
      </c>
      <c r="D8" s="2">
        <v>10</v>
      </c>
      <c r="E8" s="2">
        <v>7</v>
      </c>
      <c r="F8" s="2">
        <v>8</v>
      </c>
      <c r="G8" s="2">
        <v>7</v>
      </c>
      <c r="H8" s="2">
        <v>8</v>
      </c>
      <c r="I8" s="2"/>
      <c r="J8" s="2"/>
      <c r="K8" s="7"/>
      <c r="L8" s="4"/>
      <c r="M8" s="4"/>
      <c r="N8" s="4"/>
      <c r="O8" s="4"/>
    </row>
    <row r="9" spans="1:15" ht="21.75" customHeight="1" x14ac:dyDescent="0.15">
      <c r="A9" s="1">
        <v>6</v>
      </c>
      <c r="B9" s="1" t="s">
        <v>8</v>
      </c>
      <c r="C9" s="2">
        <v>10</v>
      </c>
      <c r="D9" s="2">
        <v>8</v>
      </c>
      <c r="E9" s="2">
        <v>9</v>
      </c>
      <c r="F9" s="2">
        <v>11</v>
      </c>
      <c r="G9" s="2">
        <v>8</v>
      </c>
      <c r="H9" s="2">
        <v>7</v>
      </c>
      <c r="I9" s="2"/>
      <c r="J9" s="2"/>
      <c r="K9" s="7"/>
      <c r="L9" s="4"/>
      <c r="M9" s="4"/>
      <c r="N9" s="4"/>
      <c r="O9" s="4"/>
    </row>
    <row r="10" spans="1:15" ht="21.75" customHeight="1" x14ac:dyDescent="0.15">
      <c r="A10" s="1">
        <v>7</v>
      </c>
      <c r="B10" s="1" t="s">
        <v>9</v>
      </c>
      <c r="C10" s="2">
        <v>7</v>
      </c>
      <c r="D10" s="2">
        <v>8</v>
      </c>
      <c r="E10" s="2">
        <v>7</v>
      </c>
      <c r="F10" s="2">
        <v>8</v>
      </c>
      <c r="G10" s="2">
        <v>7</v>
      </c>
      <c r="H10" s="2">
        <v>6</v>
      </c>
      <c r="I10" s="2"/>
      <c r="J10" s="2"/>
      <c r="K10" s="7"/>
      <c r="L10" s="4"/>
      <c r="M10" s="4"/>
      <c r="N10" s="4"/>
      <c r="O10" s="4"/>
    </row>
    <row r="11" spans="1:15" ht="21.75" customHeight="1" x14ac:dyDescent="0.15">
      <c r="A11" s="1">
        <v>8</v>
      </c>
      <c r="B11" s="1" t="s">
        <v>10</v>
      </c>
      <c r="C11" s="2">
        <v>10</v>
      </c>
      <c r="D11" s="2">
        <v>9</v>
      </c>
      <c r="E11" s="2">
        <v>11</v>
      </c>
      <c r="F11" s="2">
        <v>13</v>
      </c>
      <c r="G11" s="2">
        <v>12</v>
      </c>
      <c r="H11" s="2">
        <v>14</v>
      </c>
      <c r="I11" s="2"/>
      <c r="J11" s="2"/>
      <c r="K11" s="7"/>
      <c r="L11" s="4"/>
      <c r="M11" s="4"/>
      <c r="N11" s="4"/>
      <c r="O11" s="4"/>
    </row>
    <row r="13" spans="1:15" x14ac:dyDescent="0.15">
      <c r="A13" s="3"/>
      <c r="B13" s="3" t="s">
        <v>17</v>
      </c>
      <c r="C13" s="3" t="s">
        <v>11</v>
      </c>
      <c r="D13" s="3" t="s">
        <v>12</v>
      </c>
      <c r="E13" s="3" t="s">
        <v>13</v>
      </c>
      <c r="F13" s="3" t="s">
        <v>14</v>
      </c>
      <c r="G13" s="3" t="s">
        <v>15</v>
      </c>
      <c r="H13" s="3" t="s">
        <v>16</v>
      </c>
      <c r="I13" s="3" t="s">
        <v>1</v>
      </c>
      <c r="J13" s="3" t="s">
        <v>2</v>
      </c>
    </row>
    <row r="14" spans="1:15" ht="25.5" customHeight="1" x14ac:dyDescent="0.15">
      <c r="A14" s="11"/>
      <c r="B14" s="12"/>
      <c r="C14" s="8" t="e">
        <f>INDEX($A$4:$A$11,MATCH(B14,$B$4:$B$11,0))</f>
        <v>#N/A</v>
      </c>
      <c r="D14" s="11"/>
      <c r="E14" s="11"/>
      <c r="F14" s="11"/>
      <c r="G14" s="11"/>
      <c r="H14" s="11"/>
      <c r="I14" s="11"/>
      <c r="J14" s="11"/>
    </row>
    <row r="15" spans="1:15" ht="26.25" customHeight="1" x14ac:dyDescent="0.15">
      <c r="A15" s="11"/>
      <c r="B15" s="11" t="s">
        <v>18</v>
      </c>
      <c r="C15" s="11"/>
      <c r="D15" s="11"/>
      <c r="E15" s="11"/>
      <c r="F15" s="11"/>
      <c r="G15" s="11"/>
      <c r="H15" s="11"/>
      <c r="I15" s="11"/>
      <c r="J15" s="11"/>
    </row>
    <row r="16" spans="1:15" x14ac:dyDescent="0.15">
      <c r="A16" s="11"/>
      <c r="B16" s="11"/>
      <c r="C16" s="11"/>
      <c r="D16" s="11"/>
      <c r="E16" s="11"/>
      <c r="F16" s="11"/>
      <c r="G16" s="11"/>
      <c r="H16" s="11"/>
      <c r="I16" s="11"/>
      <c r="J16" s="11"/>
    </row>
    <row r="17" spans="1:12" x14ac:dyDescent="0.15">
      <c r="A17" s="11"/>
      <c r="B17" s="11"/>
      <c r="C17" s="11"/>
      <c r="D17" s="11"/>
      <c r="E17" s="11"/>
      <c r="F17" s="11"/>
      <c r="G17" s="11"/>
      <c r="H17" s="11"/>
      <c r="I17" s="11"/>
      <c r="J17" s="11"/>
    </row>
    <row r="18" spans="1:12" ht="14.25" thickBot="1" x14ac:dyDescent="0.2">
      <c r="A18" s="11"/>
      <c r="B18" s="11" t="s">
        <v>25</v>
      </c>
      <c r="C18" s="11" t="s">
        <v>26</v>
      </c>
      <c r="D18" s="11"/>
      <c r="E18" s="11"/>
      <c r="F18" s="11"/>
      <c r="G18" s="11"/>
      <c r="H18" s="11"/>
      <c r="I18" s="11"/>
      <c r="J18" s="11"/>
    </row>
    <row r="19" spans="1:12" x14ac:dyDescent="0.15">
      <c r="A19" s="11"/>
      <c r="B19" s="11"/>
      <c r="C19" s="13" t="s">
        <v>20</v>
      </c>
      <c r="D19" s="14"/>
      <c r="E19" s="11"/>
      <c r="F19" s="11"/>
      <c r="G19" s="11"/>
      <c r="H19" s="11"/>
      <c r="I19" s="11"/>
      <c r="J19" s="11"/>
    </row>
    <row r="20" spans="1:12" x14ac:dyDescent="0.15">
      <c r="A20" s="11"/>
      <c r="B20" s="11"/>
      <c r="C20" s="15" t="s">
        <v>21</v>
      </c>
      <c r="D20" s="16"/>
      <c r="E20" s="11"/>
      <c r="F20" s="11"/>
      <c r="G20" s="11"/>
      <c r="H20" s="11"/>
      <c r="I20" s="11"/>
      <c r="J20" s="11"/>
    </row>
    <row r="21" spans="1:12" x14ac:dyDescent="0.15">
      <c r="A21" s="11"/>
      <c r="B21" s="11"/>
      <c r="C21" s="15" t="s">
        <v>22</v>
      </c>
      <c r="D21" s="16"/>
      <c r="E21" s="11"/>
      <c r="F21" s="11"/>
      <c r="G21" s="11"/>
      <c r="H21" s="11"/>
      <c r="I21" s="11"/>
      <c r="J21" s="11"/>
    </row>
    <row r="22" spans="1:12" x14ac:dyDescent="0.15">
      <c r="A22" s="11"/>
      <c r="B22" s="11"/>
      <c r="C22" s="15" t="s">
        <v>23</v>
      </c>
      <c r="D22" s="16"/>
      <c r="E22" s="11"/>
      <c r="F22" s="11"/>
      <c r="G22" s="11"/>
      <c r="H22" s="11"/>
      <c r="I22" s="11"/>
      <c r="J22" s="11"/>
    </row>
    <row r="23" spans="1:12" ht="14.25" thickBot="1" x14ac:dyDescent="0.2">
      <c r="A23" s="11"/>
      <c r="B23" s="11"/>
      <c r="C23" s="17" t="s">
        <v>24</v>
      </c>
      <c r="D23" s="18"/>
      <c r="E23" s="11"/>
      <c r="F23" s="11"/>
      <c r="G23" s="11"/>
      <c r="H23" s="11"/>
      <c r="I23" s="11"/>
      <c r="J23" s="11"/>
    </row>
    <row r="24" spans="1:12" x14ac:dyDescent="0.15">
      <c r="A24" s="11"/>
      <c r="B24" s="11"/>
      <c r="C24" s="11"/>
      <c r="D24" s="11"/>
      <c r="E24" s="11"/>
      <c r="F24" s="11"/>
      <c r="G24" s="11"/>
      <c r="H24" s="11"/>
      <c r="I24" s="11"/>
      <c r="J24" s="11"/>
    </row>
    <row r="25" spans="1:12" x14ac:dyDescent="0.15">
      <c r="A25" s="11"/>
      <c r="B25" s="11"/>
      <c r="C25" s="19" t="s">
        <v>37</v>
      </c>
      <c r="D25" s="20"/>
      <c r="E25" s="11"/>
      <c r="F25" s="11"/>
      <c r="G25" s="11"/>
      <c r="H25" s="11"/>
      <c r="I25" s="11"/>
      <c r="J25" s="11"/>
    </row>
    <row r="26" spans="1:12" x14ac:dyDescent="0.15">
      <c r="A26" s="11"/>
      <c r="B26" s="11"/>
      <c r="C26" s="21" t="s">
        <v>38</v>
      </c>
      <c r="D26" s="22"/>
      <c r="E26" s="11"/>
      <c r="F26" s="11"/>
      <c r="G26" s="11"/>
      <c r="H26" s="11"/>
      <c r="I26" s="11"/>
      <c r="J26" s="11"/>
    </row>
    <row r="27" spans="1:12" x14ac:dyDescent="0.15">
      <c r="A27" s="11"/>
      <c r="B27" s="11"/>
      <c r="C27" s="11"/>
      <c r="D27" s="11"/>
      <c r="E27" s="11"/>
      <c r="F27" s="11"/>
      <c r="G27" s="11"/>
      <c r="H27" s="11"/>
      <c r="I27" s="11"/>
      <c r="J27" s="11"/>
    </row>
    <row r="28" spans="1:12" x14ac:dyDescent="0.15">
      <c r="A28" s="11"/>
      <c r="B28" s="11"/>
      <c r="C28" s="11"/>
      <c r="D28" s="11"/>
      <c r="E28" s="11"/>
      <c r="F28" s="11"/>
      <c r="G28" s="11"/>
      <c r="H28" s="11"/>
      <c r="I28" s="11"/>
      <c r="J28" s="11"/>
    </row>
    <row r="29" spans="1:12" x14ac:dyDescent="0.15">
      <c r="A29" s="11"/>
      <c r="B29" s="11"/>
      <c r="C29" s="11"/>
      <c r="D29" s="11"/>
      <c r="E29" s="11"/>
      <c r="F29" s="11"/>
      <c r="G29" s="11"/>
      <c r="H29" s="11"/>
      <c r="I29" s="11"/>
      <c r="J29" s="11"/>
    </row>
    <row r="30" spans="1:12" x14ac:dyDescent="0.15">
      <c r="A30" s="11"/>
      <c r="B30" s="11"/>
      <c r="C30" s="11"/>
      <c r="D30" s="11"/>
      <c r="E30" s="11"/>
      <c r="F30" s="11"/>
      <c r="G30" s="11"/>
      <c r="H30" s="11"/>
      <c r="I30" s="11"/>
      <c r="J30" s="11"/>
    </row>
    <row r="31" spans="1:12" x14ac:dyDescent="0.15">
      <c r="A31" s="11"/>
      <c r="B31" s="11"/>
      <c r="C31" s="11"/>
      <c r="D31" s="11"/>
      <c r="E31" s="11"/>
      <c r="F31" s="11"/>
      <c r="G31" s="11"/>
      <c r="H31" s="11"/>
      <c r="I31" s="11"/>
      <c r="J31" s="11"/>
    </row>
    <row r="32" spans="1:12" x14ac:dyDescent="0.15">
      <c r="A32" s="11"/>
      <c r="B32" s="11"/>
      <c r="C32" s="11"/>
      <c r="D32" s="11"/>
      <c r="E32" s="11"/>
      <c r="F32" s="11"/>
      <c r="G32" s="11"/>
      <c r="H32" s="11"/>
      <c r="I32" s="11"/>
      <c r="J32" s="11"/>
      <c r="K32" s="11"/>
      <c r="L32" s="11"/>
    </row>
    <row r="33" spans="1:12" x14ac:dyDescent="0.15">
      <c r="A33" s="11"/>
      <c r="B33" s="11"/>
      <c r="C33" s="11"/>
      <c r="D33" s="11"/>
      <c r="E33" s="11"/>
      <c r="F33" s="11"/>
      <c r="G33" s="11"/>
      <c r="H33" s="11"/>
      <c r="I33" s="11"/>
      <c r="J33" s="11"/>
      <c r="K33" s="11"/>
      <c r="L33" s="11"/>
    </row>
    <row r="34" spans="1:12" x14ac:dyDescent="0.15">
      <c r="B34" s="11"/>
      <c r="C34" s="11"/>
      <c r="D34" s="11"/>
      <c r="E34" s="11"/>
      <c r="F34" s="11"/>
      <c r="G34" s="11"/>
      <c r="H34" s="11"/>
      <c r="I34" s="11"/>
      <c r="J34" s="11"/>
      <c r="K34" s="11"/>
      <c r="L34" s="11"/>
    </row>
    <row r="35" spans="1:12" x14ac:dyDescent="0.15">
      <c r="B35" s="11"/>
      <c r="C35" s="8" t="s">
        <v>43</v>
      </c>
      <c r="D35" s="11"/>
      <c r="E35" s="11"/>
      <c r="F35" s="11"/>
      <c r="G35" s="11"/>
      <c r="H35" s="11"/>
      <c r="I35" s="11"/>
      <c r="J35" s="11"/>
      <c r="K35" s="11"/>
      <c r="L35" s="11"/>
    </row>
    <row r="36" spans="1:12" x14ac:dyDescent="0.15">
      <c r="B36" s="11"/>
      <c r="C36" s="8" t="s">
        <v>36</v>
      </c>
      <c r="D36" s="11"/>
      <c r="E36" s="11"/>
      <c r="F36" s="11"/>
      <c r="G36" s="11"/>
      <c r="H36" s="11"/>
      <c r="I36" s="11"/>
      <c r="J36" s="11"/>
      <c r="K36" s="11"/>
      <c r="L36" s="11"/>
    </row>
    <row r="37" spans="1:12" x14ac:dyDescent="0.15">
      <c r="B37" s="11"/>
      <c r="C37" s="11"/>
      <c r="D37" s="11"/>
      <c r="E37" s="11"/>
      <c r="F37" s="11"/>
      <c r="G37" s="11"/>
      <c r="H37" s="11"/>
      <c r="I37" s="11"/>
      <c r="J37" s="11"/>
      <c r="K37" s="11"/>
      <c r="L37" s="11"/>
    </row>
    <row r="38" spans="1:12" x14ac:dyDescent="0.15">
      <c r="B38" s="11"/>
      <c r="C38" s="11"/>
      <c r="D38" s="11"/>
      <c r="E38" s="11"/>
      <c r="F38" s="11"/>
      <c r="G38" s="11"/>
      <c r="H38" s="11"/>
      <c r="I38" s="11"/>
      <c r="J38" s="11"/>
      <c r="K38" s="11"/>
      <c r="L38" s="11"/>
    </row>
    <row r="39" spans="1:12" x14ac:dyDescent="0.15">
      <c r="B39" s="11"/>
      <c r="C39" s="11"/>
      <c r="D39" s="11"/>
      <c r="E39" s="11"/>
      <c r="F39" s="11"/>
      <c r="G39" s="11"/>
      <c r="H39" s="11"/>
      <c r="I39" s="11"/>
      <c r="J39" s="11"/>
      <c r="K39" s="11"/>
      <c r="L39" s="11"/>
    </row>
  </sheetData>
  <sortState ref="A4:J11">
    <sortCondition ref="A4:A11"/>
  </sortState>
  <mergeCells count="2">
    <mergeCell ref="B1:H1"/>
    <mergeCell ref="B2:H2"/>
  </mergeCells>
  <phoneticPr fontId="1"/>
  <pageMargins left="0.7" right="0.7" top="0.75" bottom="0.75" header="0.3" footer="0.3"/>
  <pageSetup paperSize="9"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"/>
  <sheetViews>
    <sheetView workbookViewId="0">
      <selection activeCell="B5" sqref="B5"/>
    </sheetView>
  </sheetViews>
  <sheetFormatPr defaultRowHeight="13.5" x14ac:dyDescent="0.15"/>
  <cols>
    <col min="2" max="11" width="11.625" customWidth="1"/>
  </cols>
  <sheetData>
    <row r="1" spans="1:1" x14ac:dyDescent="0.15">
      <c r="A1" s="23"/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自動記録</vt:lpstr>
      <vt:lpstr>課題用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浅井 友英</dc:creator>
  <cp:lastModifiedBy>n-masuya</cp:lastModifiedBy>
  <dcterms:created xsi:type="dcterms:W3CDTF">2009-01-30T04:24:54Z</dcterms:created>
  <dcterms:modified xsi:type="dcterms:W3CDTF">2020-06-19T04:52:23Z</dcterms:modified>
</cp:coreProperties>
</file>