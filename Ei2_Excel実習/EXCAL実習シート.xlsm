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3" codeName="{3D1A710C-6663-3D7B-7F91-EC182F24A4BC}"/>
  <workbookPr filterPrivacy="1" codeName="ThisWorkbook" defaultThemeVersion="124226"/>
  <xr:revisionPtr revIDLastSave="0" documentId="13_ncr:1_{FDADB9EE-8053-4B15-95DF-E890B2BD95C4}" xr6:coauthVersionLast="36" xr6:coauthVersionMax="36" xr10:uidLastSave="{00000000-0000-0000-0000-000000000000}"/>
  <bookViews>
    <workbookView xWindow="240" yWindow="105" windowWidth="14805" windowHeight="8010" activeTab="3" xr2:uid="{00000000-000D-0000-FFFF-FFFF00000000}"/>
  </bookViews>
  <sheets>
    <sheet name="マクロの操作" sheetId="1" r:id="rId1"/>
    <sheet name="マクロ課題" sheetId="2" r:id="rId2"/>
    <sheet name="マクロ参考" sheetId="3" r:id="rId3"/>
    <sheet name="VBA課題" sheetId="4" r:id="rId4"/>
  </sheets>
  <calcPr calcId="191029"/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9" i="1"/>
  <c r="N10" i="1"/>
  <c r="N11" i="1"/>
  <c r="M5" i="1"/>
  <c r="M6" i="1"/>
  <c r="M7" i="1"/>
  <c r="M8" i="1"/>
  <c r="M9" i="1"/>
  <c r="M10" i="1"/>
  <c r="M11" i="1"/>
  <c r="M4" i="1"/>
  <c r="J6" i="1"/>
  <c r="J10" i="1"/>
  <c r="I4" i="1"/>
  <c r="J9" i="1" s="1"/>
  <c r="I11" i="1"/>
  <c r="J11" i="1" s="1"/>
  <c r="I10" i="1"/>
  <c r="I9" i="1"/>
  <c r="I8" i="1"/>
  <c r="J8" i="1" s="1"/>
  <c r="I7" i="1"/>
  <c r="J7" i="1" s="1"/>
  <c r="I6" i="1"/>
  <c r="I5" i="1"/>
  <c r="J5" i="1" l="1"/>
  <c r="J4" i="1"/>
  <c r="C14" i="3"/>
  <c r="A15" i="3"/>
</calcChain>
</file>

<file path=xl/sharedStrings.xml><?xml version="1.0" encoding="utf-8"?>
<sst xmlns="http://schemas.openxmlformats.org/spreadsheetml/2006/main" count="102" uniqueCount="52">
  <si>
    <t>月別契約数</t>
    <rPh sb="0" eb="1">
      <t>ツキ</t>
    </rPh>
    <rPh sb="1" eb="2">
      <t>ベツ</t>
    </rPh>
    <rPh sb="2" eb="4">
      <t>ケイヤク</t>
    </rPh>
    <rPh sb="4" eb="5">
      <t>スウ</t>
    </rPh>
    <phoneticPr fontId="3"/>
  </si>
  <si>
    <t>氏名</t>
    <rPh sb="0" eb="2">
      <t>シメイ</t>
    </rPh>
    <phoneticPr fontId="3"/>
  </si>
  <si>
    <t>4月</t>
    <rPh sb="1" eb="2">
      <t>ガツ</t>
    </rPh>
    <phoneticPr fontId="3"/>
  </si>
  <si>
    <t>5月</t>
    <rPh sb="1" eb="2">
      <t>ガツ</t>
    </rPh>
    <phoneticPr fontId="3"/>
  </si>
  <si>
    <t>6月</t>
    <rPh sb="1" eb="2">
      <t>ガツ</t>
    </rPh>
    <phoneticPr fontId="3"/>
  </si>
  <si>
    <t>7月</t>
    <rPh sb="1" eb="2">
      <t>ガツ</t>
    </rPh>
    <phoneticPr fontId="3"/>
  </si>
  <si>
    <t>8月</t>
    <rPh sb="1" eb="2">
      <t>ガツ</t>
    </rPh>
    <phoneticPr fontId="3"/>
  </si>
  <si>
    <t>9月</t>
    <rPh sb="1" eb="2">
      <t>ガツ</t>
    </rPh>
    <phoneticPr fontId="3"/>
  </si>
  <si>
    <t>合計</t>
    <rPh sb="0" eb="2">
      <t>ゴウケイ</t>
    </rPh>
    <phoneticPr fontId="3"/>
  </si>
  <si>
    <t>順位</t>
    <rPh sb="0" eb="2">
      <t>ジュンイ</t>
    </rPh>
    <phoneticPr fontId="3"/>
  </si>
  <si>
    <t>大島</t>
    <rPh sb="0" eb="2">
      <t>ダイトウ</t>
    </rPh>
    <phoneticPr fontId="3"/>
  </si>
  <si>
    <t>渡辺</t>
    <rPh sb="0" eb="2">
      <t>ワタナベ</t>
    </rPh>
    <phoneticPr fontId="3"/>
  </si>
  <si>
    <t>柏木</t>
    <rPh sb="0" eb="2">
      <t>カシワギ</t>
    </rPh>
    <phoneticPr fontId="3"/>
  </si>
  <si>
    <t>指原</t>
    <rPh sb="0" eb="2">
      <t>サシハラ</t>
    </rPh>
    <phoneticPr fontId="3"/>
  </si>
  <si>
    <t>篠田</t>
    <rPh sb="0" eb="2">
      <t>シノダ</t>
    </rPh>
    <phoneticPr fontId="3"/>
  </si>
  <si>
    <t>高橋</t>
    <rPh sb="0" eb="2">
      <t>タカハシ</t>
    </rPh>
    <phoneticPr fontId="3"/>
  </si>
  <si>
    <t>小嶋</t>
    <rPh sb="0" eb="2">
      <t>オジマ</t>
    </rPh>
    <phoneticPr fontId="3"/>
  </si>
  <si>
    <t>板野</t>
    <rPh sb="0" eb="2">
      <t>イタノ</t>
    </rPh>
    <phoneticPr fontId="3"/>
  </si>
  <si>
    <t>　</t>
    <phoneticPr fontId="3"/>
  </si>
  <si>
    <t>ヒント</t>
    <phoneticPr fontId="3"/>
  </si>
  <si>
    <t>この関数を組み合わせて</t>
    <rPh sb="2" eb="4">
      <t>カンスウ</t>
    </rPh>
    <rPh sb="5" eb="6">
      <t>ク</t>
    </rPh>
    <rPh sb="7" eb="8">
      <t>ア</t>
    </rPh>
    <phoneticPr fontId="3"/>
  </si>
  <si>
    <t>INDIRECT</t>
    <phoneticPr fontId="3"/>
  </si>
  <si>
    <t>ADDRESS</t>
    <phoneticPr fontId="3"/>
  </si>
  <si>
    <t>MATCH</t>
    <phoneticPr fontId="3"/>
  </si>
  <si>
    <t>ROW</t>
    <phoneticPr fontId="3"/>
  </si>
  <si>
    <t>COLUMN　</t>
    <phoneticPr fontId="3"/>
  </si>
  <si>
    <t>=INDEX</t>
    <phoneticPr fontId="3"/>
  </si>
  <si>
    <t>=MATCH</t>
    <phoneticPr fontId="3"/>
  </si>
  <si>
    <t>=INDIRECT(ADDRESS(MATCH($B$14,$B$4:$B$11,0)+ROW($B$3),COLUMN(H3),1))</t>
    <phoneticPr fontId="3"/>
  </si>
  <si>
    <t>=INDEX($A$4:$A$11,MATCH(B14,$B$4:$B$11,0))</t>
    <phoneticPr fontId="3"/>
  </si>
  <si>
    <t>列の非表示　再表示</t>
    <rPh sb="0" eb="1">
      <t>レツ</t>
    </rPh>
    <rPh sb="2" eb="5">
      <t>ヒヒョウジ</t>
    </rPh>
    <rPh sb="6" eb="9">
      <t>サイヒョウジ</t>
    </rPh>
    <phoneticPr fontId="3"/>
  </si>
  <si>
    <t>番号と月を入力すると氏名と月成績が表示されるようにする</t>
    <rPh sb="0" eb="2">
      <t>バンゴウ</t>
    </rPh>
    <rPh sb="3" eb="4">
      <t>ツキ</t>
    </rPh>
    <rPh sb="5" eb="7">
      <t>ニュウリョク</t>
    </rPh>
    <rPh sb="10" eb="12">
      <t>シメイ</t>
    </rPh>
    <rPh sb="13" eb="14">
      <t>ツキ</t>
    </rPh>
    <rPh sb="14" eb="16">
      <t>セイセキ</t>
    </rPh>
    <rPh sb="17" eb="19">
      <t>ヒョウジ</t>
    </rPh>
    <phoneticPr fontId="3"/>
  </si>
  <si>
    <t>＝Vlookup　を使おう</t>
    <rPh sb="10" eb="11">
      <t>ツカ</t>
    </rPh>
    <phoneticPr fontId="3"/>
  </si>
  <si>
    <t>グラフの作成</t>
    <rPh sb="4" eb="6">
      <t>サクセイ</t>
    </rPh>
    <phoneticPr fontId="3"/>
  </si>
  <si>
    <t>適するグラフ形式は？</t>
    <rPh sb="0" eb="1">
      <t>テキ</t>
    </rPh>
    <rPh sb="6" eb="8">
      <t>ケイシキ</t>
    </rPh>
    <phoneticPr fontId="3"/>
  </si>
  <si>
    <t>①月別の各人の成績比較</t>
    <rPh sb="1" eb="3">
      <t>ツキベツ</t>
    </rPh>
    <rPh sb="4" eb="6">
      <t>カクジン</t>
    </rPh>
    <rPh sb="7" eb="9">
      <t>セイセキ</t>
    </rPh>
    <rPh sb="9" eb="11">
      <t>ヒカク</t>
    </rPh>
    <phoneticPr fontId="3"/>
  </si>
  <si>
    <t>②半年間の成績の移り変わり</t>
    <rPh sb="1" eb="4">
      <t>ハントシカン</t>
    </rPh>
    <rPh sb="5" eb="7">
      <t>セイセキ</t>
    </rPh>
    <rPh sb="8" eb="9">
      <t>ウツ</t>
    </rPh>
    <rPh sb="10" eb="11">
      <t>カ</t>
    </rPh>
    <phoneticPr fontId="3"/>
  </si>
  <si>
    <t>7月</t>
  </si>
  <si>
    <t>8月</t>
  </si>
  <si>
    <t>9月</t>
  </si>
  <si>
    <t>10月</t>
  </si>
  <si>
    <t>11月</t>
  </si>
  <si>
    <t>12月</t>
  </si>
  <si>
    <t>小嶋</t>
    <rPh sb="0" eb="2">
      <t>コジマ</t>
    </rPh>
    <phoneticPr fontId="3"/>
  </si>
  <si>
    <t>合計</t>
    <rPh sb="0" eb="2">
      <t>ゴウケイ</t>
    </rPh>
    <phoneticPr fontId="1"/>
  </si>
  <si>
    <t>=SUM　を使おう</t>
    <rPh sb="6" eb="7">
      <t>ツカ</t>
    </rPh>
    <phoneticPr fontId="1"/>
  </si>
  <si>
    <t>順位　</t>
    <rPh sb="0" eb="2">
      <t>ジュンイ</t>
    </rPh>
    <phoneticPr fontId="1"/>
  </si>
  <si>
    <t>=RANK  を使おう</t>
    <rPh sb="8" eb="9">
      <t>ツカ</t>
    </rPh>
    <phoneticPr fontId="1"/>
  </si>
  <si>
    <t>相対セル参照</t>
    <rPh sb="0" eb="2">
      <t>ソウタイ</t>
    </rPh>
    <rPh sb="4" eb="6">
      <t>サンショウ</t>
    </rPh>
    <phoneticPr fontId="1"/>
  </si>
  <si>
    <t>絶対セル参照</t>
    <rPh sb="0" eb="2">
      <t>ゼッタイ</t>
    </rPh>
    <rPh sb="4" eb="6">
      <t>サンショウ</t>
    </rPh>
    <phoneticPr fontId="1"/>
  </si>
  <si>
    <t>大島</t>
    <rPh sb="0" eb="2">
      <t>オオシマ</t>
    </rPh>
    <phoneticPr fontId="3"/>
  </si>
  <si>
    <t>↑ここに名前を入れたら、その人の業績が表示されるようにする。</t>
    <rPh sb="4" eb="6">
      <t>ナマエ</t>
    </rPh>
    <rPh sb="7" eb="8">
      <t>イ</t>
    </rPh>
    <rPh sb="14" eb="15">
      <t>ヒト</t>
    </rPh>
    <rPh sb="16" eb="18">
      <t>ギョウセキ</t>
    </rPh>
    <rPh sb="19" eb="21">
      <t>ヒョウジ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</si>
</sst>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&quot;月&quot;"/>
  </numFmts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indexed="13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quotePrefix="1" applyFon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quotePrefix="1" applyFont="1" applyAlignment="1">
      <alignment vertical="center"/>
    </xf>
    <xf numFmtId="176" fontId="0" fillId="2" borderId="2" xfId="0" applyNumberForma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4" fillId="0" borderId="4" xfId="0" quotePrefix="1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quotePrefix="1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quotePrefix="1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quotePrefix="1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2" xfId="0" quotePrefix="1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vertical="center"/>
    </xf>
    <xf numFmtId="176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  <xf numFmtId="0" fontId="8" fillId="0" borderId="0" xfId="0" applyFon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マクロの操作!$L$4:$M$11</c:f>
              <c:multiLvlStrCache>
                <c:ptCount val="8"/>
                <c:lvl>
                  <c:pt idx="0">
                    <c:v>大島</c:v>
                  </c:pt>
                  <c:pt idx="1">
                    <c:v>渡辺</c:v>
                  </c:pt>
                  <c:pt idx="2">
                    <c:v>柏木</c:v>
                  </c:pt>
                  <c:pt idx="3">
                    <c:v>指原</c:v>
                  </c:pt>
                  <c:pt idx="4">
                    <c:v>篠田</c:v>
                  </c:pt>
                  <c:pt idx="5">
                    <c:v>高橋</c:v>
                  </c:pt>
                  <c:pt idx="6">
                    <c:v>小嶋</c:v>
                  </c:pt>
                  <c:pt idx="7">
                    <c:v>板野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</c:lvl>
              </c:multiLvlStrCache>
            </c:multiLvlStrRef>
          </c:cat>
          <c:val>
            <c:numRef>
              <c:f>マクロの操作!$N$4:$N$11</c:f>
              <c:numCache>
                <c:formatCode>General</c:formatCode>
                <c:ptCount val="8"/>
                <c:pt idx="0">
                  <c:v>9</c:v>
                </c:pt>
                <c:pt idx="1">
                  <c:v>7</c:v>
                </c:pt>
                <c:pt idx="2">
                  <c:v>11</c:v>
                </c:pt>
                <c:pt idx="3">
                  <c:v>4</c:v>
                </c:pt>
                <c:pt idx="4">
                  <c:v>8</c:v>
                </c:pt>
                <c:pt idx="5">
                  <c:v>10</c:v>
                </c:pt>
                <c:pt idx="6">
                  <c:v>7</c:v>
                </c:pt>
                <c:pt idx="7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F-4397-A189-FC226C0CD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348143"/>
        <c:axId val="646089215"/>
      </c:barChart>
      <c:catAx>
        <c:axId val="545348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089215"/>
        <c:crosses val="autoZero"/>
        <c:auto val="1"/>
        <c:lblAlgn val="ctr"/>
        <c:lblOffset val="100"/>
        <c:noMultiLvlLbl val="0"/>
      </c:catAx>
      <c:valAx>
        <c:axId val="6460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34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676275</xdr:colOff>
          <xdr:row>2</xdr:row>
          <xdr:rowOff>0</xdr:rowOff>
        </xdr:from>
        <xdr:to>
          <xdr:col>18</xdr:col>
          <xdr:colOff>0</xdr:colOff>
          <xdr:row>4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1EF26A6A-B646-420F-866A-3CA8A505F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Emergen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676275</xdr:colOff>
          <xdr:row>5</xdr:row>
          <xdr:rowOff>0</xdr:rowOff>
        </xdr:from>
        <xdr:to>
          <xdr:col>18</xdr:col>
          <xdr:colOff>0</xdr:colOff>
          <xdr:row>6</xdr:row>
          <xdr:rowOff>161925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C9E5C40F-A231-4E0B-84A7-A391DEABF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UnEmergen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433387</xdr:colOff>
      <xdr:row>7</xdr:row>
      <xdr:rowOff>0</xdr:rowOff>
    </xdr:from>
    <xdr:to>
      <xdr:col>26</xdr:col>
      <xdr:colOff>204787</xdr:colOff>
      <xdr:row>23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784ECD1-386B-43A4-A474-DCF8CD852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276225</xdr:colOff>
      <xdr:row>4</xdr:row>
      <xdr:rowOff>47625</xdr:rowOff>
    </xdr:from>
    <xdr:to>
      <xdr:col>21</xdr:col>
      <xdr:colOff>76200</xdr:colOff>
      <xdr:row>19</xdr:row>
      <xdr:rowOff>142875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F6832B9-FB52-494D-AF8F-036F90204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990600"/>
          <a:ext cx="5972175" cy="372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47625</xdr:rowOff>
        </xdr:from>
        <xdr:to>
          <xdr:col>9</xdr:col>
          <xdr:colOff>95250</xdr:colOff>
          <xdr:row>11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81E6CD6-E25E-492B-9A3D-1AA730753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6"/>
  <sheetViews>
    <sheetView topLeftCell="R1" workbookViewId="0">
      <selection activeCell="U4" sqref="U4"/>
    </sheetView>
  </sheetViews>
  <sheetFormatPr defaultRowHeight="13.5" x14ac:dyDescent="0.15"/>
  <cols>
    <col min="1" max="1" width="4.5" style="1" hidden="1" customWidth="1"/>
    <col min="2" max="2" width="10.25" style="1" hidden="1" customWidth="1"/>
    <col min="3" max="9" width="6.625" style="1" hidden="1" customWidth="1"/>
    <col min="10" max="10" width="13.625" style="1" hidden="1" customWidth="1"/>
    <col min="11" max="11" width="9" style="1"/>
    <col min="12" max="12" width="6" style="1" customWidth="1"/>
    <col min="13" max="24" width="9" style="1"/>
    <col min="25" max="25" width="9" style="1" customWidth="1"/>
    <col min="26" max="16384" width="9" style="1"/>
  </cols>
  <sheetData>
    <row r="1" spans="1:27" ht="17.25" x14ac:dyDescent="0.15">
      <c r="B1" s="35" t="s">
        <v>0</v>
      </c>
      <c r="C1" s="35"/>
      <c r="D1" s="35"/>
      <c r="E1" s="35"/>
      <c r="F1" s="35"/>
      <c r="G1" s="35"/>
      <c r="H1" s="35"/>
    </row>
    <row r="2" spans="1:27" x14ac:dyDescent="0.15">
      <c r="B2" s="36"/>
      <c r="C2" s="36"/>
      <c r="D2" s="36"/>
      <c r="E2" s="36"/>
      <c r="F2" s="36"/>
      <c r="G2" s="36"/>
      <c r="H2" s="36"/>
      <c r="L2" s="8"/>
      <c r="Q2" s="1" t="s">
        <v>30</v>
      </c>
    </row>
    <row r="3" spans="1:27" ht="13.5" customHeight="1" x14ac:dyDescent="0.15">
      <c r="A3" s="2"/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L3" s="2"/>
      <c r="M3" s="2" t="s">
        <v>1</v>
      </c>
      <c r="N3" s="10">
        <v>4</v>
      </c>
      <c r="O3" s="38"/>
    </row>
    <row r="4" spans="1:27" x14ac:dyDescent="0.15">
      <c r="A4" s="3">
        <v>1</v>
      </c>
      <c r="B4" s="3" t="s">
        <v>10</v>
      </c>
      <c r="C4" s="4">
        <v>9</v>
      </c>
      <c r="D4" s="4">
        <v>7</v>
      </c>
      <c r="E4" s="4">
        <v>11</v>
      </c>
      <c r="F4" s="4">
        <v>6</v>
      </c>
      <c r="G4" s="4">
        <v>8</v>
      </c>
      <c r="H4" s="4">
        <v>9</v>
      </c>
      <c r="I4" s="4">
        <f>SUM(C4:H4)</f>
        <v>50</v>
      </c>
      <c r="J4" s="4">
        <f>RANK(I4,$I$4:$I$11,0)</f>
        <v>4</v>
      </c>
      <c r="L4" s="3">
        <v>1</v>
      </c>
      <c r="M4" s="3" t="str">
        <f>VLOOKUP($L4,$A$3:$J$11,2)</f>
        <v>大島</v>
      </c>
      <c r="N4" s="3">
        <f>VLOOKUP(L4,$A$3:$J$11,$N$3-1)</f>
        <v>9</v>
      </c>
    </row>
    <row r="5" spans="1:27" x14ac:dyDescent="0.15">
      <c r="A5" s="3">
        <v>2</v>
      </c>
      <c r="B5" s="3" t="s">
        <v>11</v>
      </c>
      <c r="C5" s="4">
        <v>7</v>
      </c>
      <c r="D5" s="4">
        <v>5</v>
      </c>
      <c r="E5" s="4">
        <v>6</v>
      </c>
      <c r="F5" s="4">
        <v>9</v>
      </c>
      <c r="G5" s="4">
        <v>3</v>
      </c>
      <c r="H5" s="4">
        <v>12</v>
      </c>
      <c r="I5" s="4">
        <f t="shared" ref="I5:I11" si="0">SUM(C5:H5)</f>
        <v>42</v>
      </c>
      <c r="J5" s="4">
        <f>RANK(I5,$I$4:$I$11,0)</f>
        <v>7</v>
      </c>
      <c r="L5" s="3">
        <v>2</v>
      </c>
      <c r="M5" s="3" t="str">
        <f t="shared" ref="M5:M11" si="1">VLOOKUP($L5,$A$3:$J$11,2)</f>
        <v>渡辺</v>
      </c>
      <c r="N5" s="3">
        <f t="shared" ref="N5:N11" si="2">VLOOKUP(L5,$A$3:$J$11,$N$3-1)</f>
        <v>7</v>
      </c>
    </row>
    <row r="6" spans="1:27" x14ac:dyDescent="0.15">
      <c r="A6" s="3">
        <v>3</v>
      </c>
      <c r="B6" s="3" t="s">
        <v>12</v>
      </c>
      <c r="C6" s="4">
        <v>11</v>
      </c>
      <c r="D6" s="4">
        <v>8</v>
      </c>
      <c r="E6" s="4">
        <v>7</v>
      </c>
      <c r="F6" s="4">
        <v>12</v>
      </c>
      <c r="G6" s="4">
        <v>11</v>
      </c>
      <c r="H6" s="4">
        <v>13</v>
      </c>
      <c r="I6" s="4">
        <f t="shared" si="0"/>
        <v>62</v>
      </c>
      <c r="J6" s="4">
        <f>RANK(I6,$I$4:$I$11,0)</f>
        <v>2</v>
      </c>
      <c r="L6" s="3">
        <v>3</v>
      </c>
      <c r="M6" s="3" t="str">
        <f t="shared" si="1"/>
        <v>柏木</v>
      </c>
      <c r="N6" s="3">
        <f t="shared" si="2"/>
        <v>11</v>
      </c>
      <c r="T6" s="39"/>
      <c r="U6" s="39"/>
      <c r="V6" s="39"/>
      <c r="W6" s="39"/>
      <c r="X6" s="39"/>
      <c r="Y6" s="39"/>
      <c r="Z6" s="39"/>
      <c r="AA6" s="39"/>
    </row>
    <row r="7" spans="1:27" x14ac:dyDescent="0.15">
      <c r="A7" s="3">
        <v>4</v>
      </c>
      <c r="B7" s="3" t="s">
        <v>13</v>
      </c>
      <c r="C7" s="4">
        <v>4</v>
      </c>
      <c r="D7" s="4">
        <v>2</v>
      </c>
      <c r="E7" s="4">
        <v>3</v>
      </c>
      <c r="F7" s="4">
        <v>4</v>
      </c>
      <c r="G7" s="4">
        <v>4</v>
      </c>
      <c r="H7" s="4">
        <v>5</v>
      </c>
      <c r="I7" s="4">
        <f t="shared" si="0"/>
        <v>22</v>
      </c>
      <c r="J7" s="4">
        <f>RANK(I7,$I$4:$I$11,0)</f>
        <v>8</v>
      </c>
      <c r="L7" s="3">
        <v>4</v>
      </c>
      <c r="M7" s="3" t="str">
        <f t="shared" si="1"/>
        <v>指原</v>
      </c>
      <c r="N7" s="3">
        <f t="shared" si="2"/>
        <v>4</v>
      </c>
      <c r="T7" s="39"/>
      <c r="U7" s="39"/>
      <c r="V7" s="39"/>
      <c r="W7" s="39"/>
      <c r="X7" s="39"/>
      <c r="Y7" s="39"/>
      <c r="Z7" s="39"/>
      <c r="AA7" s="39"/>
    </row>
    <row r="8" spans="1:27" x14ac:dyDescent="0.15">
      <c r="A8" s="3">
        <v>5</v>
      </c>
      <c r="B8" s="3" t="s">
        <v>14</v>
      </c>
      <c r="C8" s="4">
        <v>8</v>
      </c>
      <c r="D8" s="4">
        <v>10</v>
      </c>
      <c r="E8" s="4">
        <v>7</v>
      </c>
      <c r="F8" s="4">
        <v>8</v>
      </c>
      <c r="G8" s="4">
        <v>7</v>
      </c>
      <c r="H8" s="4">
        <v>8</v>
      </c>
      <c r="I8" s="4">
        <f t="shared" si="0"/>
        <v>48</v>
      </c>
      <c r="J8" s="4">
        <f>RANK(I8,$I$4:$I$11,0)</f>
        <v>5</v>
      </c>
      <c r="L8" s="3">
        <v>5</v>
      </c>
      <c r="M8" s="3" t="str">
        <f t="shared" si="1"/>
        <v>篠田</v>
      </c>
      <c r="N8" s="3">
        <f t="shared" si="2"/>
        <v>8</v>
      </c>
      <c r="T8" s="39"/>
      <c r="U8" s="39"/>
      <c r="V8" s="39"/>
      <c r="W8" s="39"/>
      <c r="X8" s="39"/>
      <c r="Y8" s="39"/>
      <c r="Z8" s="39"/>
      <c r="AA8" s="39"/>
    </row>
    <row r="9" spans="1:27" x14ac:dyDescent="0.15">
      <c r="A9" s="3">
        <v>6</v>
      </c>
      <c r="B9" s="3" t="s">
        <v>15</v>
      </c>
      <c r="C9" s="4">
        <v>10</v>
      </c>
      <c r="D9" s="4">
        <v>8</v>
      </c>
      <c r="E9" s="4">
        <v>9</v>
      </c>
      <c r="F9" s="4">
        <v>11</v>
      </c>
      <c r="G9" s="4">
        <v>8</v>
      </c>
      <c r="H9" s="4">
        <v>7</v>
      </c>
      <c r="I9" s="4">
        <f t="shared" si="0"/>
        <v>53</v>
      </c>
      <c r="J9" s="4">
        <f>RANK(I9,$I$4:$I$11,0)</f>
        <v>3</v>
      </c>
      <c r="L9" s="3">
        <v>6</v>
      </c>
      <c r="M9" s="3" t="str">
        <f t="shared" si="1"/>
        <v>高橋</v>
      </c>
      <c r="N9" s="3">
        <f t="shared" si="2"/>
        <v>10</v>
      </c>
      <c r="T9" s="39"/>
      <c r="U9" s="39"/>
      <c r="V9" s="39"/>
      <c r="W9" s="39"/>
      <c r="X9" s="39"/>
      <c r="Y9" s="39"/>
      <c r="Z9" s="39"/>
      <c r="AA9" s="39"/>
    </row>
    <row r="10" spans="1:27" x14ac:dyDescent="0.15">
      <c r="A10" s="3">
        <v>7</v>
      </c>
      <c r="B10" s="3" t="s">
        <v>16</v>
      </c>
      <c r="C10" s="4">
        <v>7</v>
      </c>
      <c r="D10" s="4">
        <v>8</v>
      </c>
      <c r="E10" s="4">
        <v>7</v>
      </c>
      <c r="F10" s="4">
        <v>8</v>
      </c>
      <c r="G10" s="4">
        <v>7</v>
      </c>
      <c r="H10" s="4">
        <v>6</v>
      </c>
      <c r="I10" s="4">
        <f t="shared" si="0"/>
        <v>43</v>
      </c>
      <c r="J10" s="4">
        <f>RANK(I10,$I$4:$I$11,0)</f>
        <v>6</v>
      </c>
      <c r="L10" s="3">
        <v>7</v>
      </c>
      <c r="M10" s="3" t="str">
        <f t="shared" si="1"/>
        <v>小嶋</v>
      </c>
      <c r="N10" s="3">
        <f t="shared" si="2"/>
        <v>7</v>
      </c>
      <c r="T10" s="39"/>
      <c r="U10" s="39"/>
      <c r="V10" s="39"/>
      <c r="W10" s="39"/>
      <c r="X10" s="39"/>
      <c r="Y10" s="39"/>
      <c r="Z10" s="39"/>
      <c r="AA10" s="39"/>
    </row>
    <row r="11" spans="1:27" x14ac:dyDescent="0.15">
      <c r="A11" s="3">
        <v>8</v>
      </c>
      <c r="B11" s="3" t="s">
        <v>17</v>
      </c>
      <c r="C11" s="4">
        <v>10</v>
      </c>
      <c r="D11" s="4">
        <v>9</v>
      </c>
      <c r="E11" s="4">
        <v>11</v>
      </c>
      <c r="F11" s="4">
        <v>13</v>
      </c>
      <c r="G11" s="4">
        <v>12</v>
      </c>
      <c r="H11" s="4">
        <v>14</v>
      </c>
      <c r="I11" s="4">
        <f t="shared" si="0"/>
        <v>69</v>
      </c>
      <c r="J11" s="4">
        <f>RANK(I11,$I$4:$I$11,0)</f>
        <v>1</v>
      </c>
      <c r="L11" s="3">
        <v>8</v>
      </c>
      <c r="M11" s="3" t="str">
        <f t="shared" si="1"/>
        <v>板野</v>
      </c>
      <c r="N11" s="3">
        <f t="shared" si="2"/>
        <v>10</v>
      </c>
      <c r="T11" s="39"/>
      <c r="U11" s="39"/>
      <c r="V11" s="39"/>
      <c r="W11" s="39"/>
      <c r="X11" s="39"/>
      <c r="Y11" s="39"/>
      <c r="Z11" s="39"/>
      <c r="AA11" s="39"/>
    </row>
    <row r="12" spans="1:27" x14ac:dyDescent="0.15">
      <c r="B12" s="1" t="s">
        <v>18</v>
      </c>
      <c r="I12" s="37"/>
      <c r="T12" s="39"/>
      <c r="U12" s="39"/>
      <c r="V12" s="39"/>
      <c r="W12" s="39"/>
      <c r="X12" s="39"/>
      <c r="Y12" s="39"/>
      <c r="Z12" s="39"/>
      <c r="AA12" s="39"/>
    </row>
    <row r="13" spans="1:27" x14ac:dyDescent="0.15">
      <c r="L13" s="1" t="s">
        <v>31</v>
      </c>
      <c r="T13" s="39"/>
      <c r="U13" s="39"/>
      <c r="V13" s="39"/>
      <c r="W13" s="39"/>
      <c r="X13" s="39"/>
      <c r="Y13" s="39"/>
      <c r="Z13" s="39"/>
      <c r="AA13" s="39"/>
    </row>
    <row r="14" spans="1:27" x14ac:dyDescent="0.15">
      <c r="L14" s="11" t="s">
        <v>32</v>
      </c>
      <c r="T14" s="39"/>
      <c r="U14" s="39"/>
      <c r="V14" s="39"/>
      <c r="W14" s="39"/>
      <c r="X14" s="39"/>
      <c r="Y14" s="39"/>
      <c r="Z14" s="39"/>
      <c r="AA14" s="39"/>
    </row>
    <row r="15" spans="1:27" x14ac:dyDescent="0.15">
      <c r="B15" s="5" t="s">
        <v>19</v>
      </c>
      <c r="C15" s="5" t="s">
        <v>20</v>
      </c>
      <c r="D15" s="5"/>
      <c r="E15" s="5"/>
      <c r="F15" s="6"/>
      <c r="T15" s="39"/>
      <c r="U15" s="39"/>
      <c r="V15" s="39"/>
      <c r="W15" s="39"/>
      <c r="X15" s="39"/>
      <c r="Y15" s="39"/>
      <c r="Z15" s="39"/>
      <c r="AA15" s="39"/>
    </row>
    <row r="16" spans="1:27" x14ac:dyDescent="0.15">
      <c r="B16" s="5"/>
      <c r="C16" s="7" t="s">
        <v>21</v>
      </c>
      <c r="D16" s="5"/>
      <c r="E16" s="5"/>
      <c r="F16" s="6"/>
      <c r="T16" s="39"/>
      <c r="U16" s="39"/>
      <c r="V16" s="39"/>
      <c r="W16" s="39"/>
      <c r="X16" s="39"/>
      <c r="Y16" s="39"/>
      <c r="Z16" s="39"/>
      <c r="AA16" s="39"/>
    </row>
    <row r="17" spans="2:27" x14ac:dyDescent="0.15">
      <c r="B17" s="5"/>
      <c r="C17" s="7" t="s">
        <v>22</v>
      </c>
      <c r="D17" s="5"/>
      <c r="E17" s="5"/>
      <c r="F17" s="6"/>
      <c r="T17" s="39"/>
      <c r="U17" s="39"/>
      <c r="V17" s="39"/>
      <c r="W17" s="39"/>
      <c r="X17" s="39"/>
      <c r="Y17" s="39"/>
      <c r="Z17" s="39"/>
      <c r="AA17" s="39"/>
    </row>
    <row r="18" spans="2:27" x14ac:dyDescent="0.15">
      <c r="B18" s="5"/>
      <c r="C18" s="7" t="s">
        <v>23</v>
      </c>
      <c r="D18" s="5"/>
      <c r="E18" s="5"/>
      <c r="F18" s="6"/>
      <c r="T18" s="39"/>
      <c r="U18" s="39"/>
      <c r="V18" s="39"/>
      <c r="W18" s="39"/>
      <c r="X18" s="39"/>
      <c r="Y18" s="39"/>
      <c r="Z18" s="39"/>
      <c r="AA18" s="39"/>
    </row>
    <row r="19" spans="2:27" x14ac:dyDescent="0.15">
      <c r="B19" s="5"/>
      <c r="C19" s="7" t="s">
        <v>24</v>
      </c>
      <c r="D19" s="5"/>
      <c r="E19" s="5"/>
      <c r="F19" s="6"/>
      <c r="T19" s="39"/>
      <c r="U19" s="39"/>
      <c r="V19" s="39"/>
      <c r="W19" s="39"/>
      <c r="X19" s="39"/>
      <c r="Y19" s="39"/>
      <c r="Z19" s="39"/>
      <c r="AA19" s="39"/>
    </row>
    <row r="20" spans="2:27" x14ac:dyDescent="0.15">
      <c r="B20" s="5"/>
      <c r="C20" s="7" t="s">
        <v>25</v>
      </c>
      <c r="D20" s="5"/>
      <c r="E20" s="5"/>
      <c r="F20" s="6"/>
      <c r="T20" s="39"/>
      <c r="U20" s="39"/>
      <c r="V20" s="39"/>
      <c r="W20" s="39"/>
      <c r="X20" s="39"/>
      <c r="Y20" s="39"/>
      <c r="Z20" s="39"/>
      <c r="AA20" s="39"/>
    </row>
    <row r="21" spans="2:27" x14ac:dyDescent="0.15">
      <c r="B21" s="5"/>
      <c r="C21" s="5"/>
      <c r="D21" s="5"/>
      <c r="E21" s="5"/>
      <c r="F21" s="6"/>
      <c r="T21" s="39"/>
      <c r="U21" s="39"/>
      <c r="V21" s="39"/>
      <c r="W21" s="39"/>
      <c r="X21" s="39"/>
      <c r="Y21" s="39"/>
      <c r="Z21" s="39"/>
      <c r="AA21" s="39"/>
    </row>
    <row r="22" spans="2:27" x14ac:dyDescent="0.15">
      <c r="B22" s="5"/>
      <c r="C22" s="7" t="s">
        <v>26</v>
      </c>
      <c r="D22" s="5"/>
      <c r="E22" s="5"/>
      <c r="F22" s="6"/>
      <c r="T22" s="39"/>
      <c r="U22" s="39"/>
      <c r="V22" s="39"/>
      <c r="W22" s="39"/>
      <c r="X22" s="39"/>
      <c r="Y22" s="39"/>
      <c r="Z22" s="39"/>
      <c r="AA22" s="39"/>
    </row>
    <row r="23" spans="2:27" x14ac:dyDescent="0.15">
      <c r="B23" s="5"/>
      <c r="C23" s="7" t="s">
        <v>27</v>
      </c>
      <c r="D23" s="5"/>
      <c r="E23" s="5"/>
      <c r="F23" s="6"/>
      <c r="L23" s="1" t="s">
        <v>44</v>
      </c>
      <c r="M23" s="1" t="s">
        <v>45</v>
      </c>
      <c r="O23" s="1" t="s">
        <v>33</v>
      </c>
      <c r="R23" s="1" t="s">
        <v>34</v>
      </c>
      <c r="T23" s="39"/>
      <c r="U23" s="39"/>
      <c r="V23" s="39"/>
      <c r="W23" s="39"/>
      <c r="X23" s="39"/>
      <c r="Y23" s="39"/>
      <c r="Z23" s="39"/>
      <c r="AA23" s="39"/>
    </row>
    <row r="24" spans="2:27" x14ac:dyDescent="0.15">
      <c r="B24" s="5"/>
      <c r="C24" s="5"/>
      <c r="D24" s="5"/>
      <c r="E24" s="5"/>
      <c r="F24" s="6"/>
      <c r="L24" s="1" t="s">
        <v>46</v>
      </c>
      <c r="M24" s="1" t="s">
        <v>47</v>
      </c>
      <c r="O24" s="1" t="s">
        <v>35</v>
      </c>
      <c r="T24" s="39"/>
      <c r="U24" s="39"/>
      <c r="V24" s="39"/>
      <c r="W24" s="39"/>
      <c r="X24" s="39"/>
      <c r="Y24" s="39"/>
      <c r="Z24" s="39"/>
      <c r="AA24" s="39"/>
    </row>
    <row r="25" spans="2:27" x14ac:dyDescent="0.15">
      <c r="B25" s="5"/>
      <c r="C25" s="5"/>
      <c r="D25" s="5"/>
      <c r="E25" s="5"/>
      <c r="F25" s="6"/>
      <c r="O25" s="1" t="s">
        <v>36</v>
      </c>
    </row>
    <row r="26" spans="2:27" x14ac:dyDescent="0.15">
      <c r="B26" s="8"/>
      <c r="C26" s="8"/>
      <c r="D26" s="8"/>
      <c r="E26" s="8"/>
      <c r="L26" s="1" t="s">
        <v>48</v>
      </c>
    </row>
    <row r="27" spans="2:27" x14ac:dyDescent="0.15">
      <c r="L27" s="1" t="s">
        <v>49</v>
      </c>
    </row>
    <row r="29" spans="2:27" x14ac:dyDescent="0.15">
      <c r="B29" s="6"/>
      <c r="C29" s="6"/>
      <c r="D29" s="6"/>
      <c r="E29" s="6"/>
      <c r="F29" s="6"/>
      <c r="G29" s="6"/>
      <c r="H29" s="6"/>
      <c r="I29" s="6"/>
      <c r="J29" s="6"/>
    </row>
    <row r="30" spans="2:27" x14ac:dyDescent="0.15">
      <c r="B30" s="6"/>
      <c r="C30" s="6"/>
      <c r="D30" s="6"/>
      <c r="E30" s="6"/>
      <c r="F30" s="6"/>
      <c r="G30" s="6"/>
      <c r="H30" s="6"/>
      <c r="I30" s="6"/>
      <c r="J30" s="6"/>
    </row>
    <row r="31" spans="2:27" x14ac:dyDescent="0.15">
      <c r="B31" s="6"/>
      <c r="C31" s="6"/>
      <c r="D31" s="6"/>
      <c r="E31" s="6"/>
      <c r="F31" s="6"/>
      <c r="G31" s="6"/>
      <c r="H31" s="6"/>
      <c r="I31" s="6"/>
      <c r="J31" s="6"/>
    </row>
    <row r="32" spans="2:27" x14ac:dyDescent="0.15">
      <c r="B32" s="6"/>
      <c r="C32" s="9" t="s">
        <v>28</v>
      </c>
      <c r="D32" s="6"/>
      <c r="E32" s="6"/>
      <c r="F32" s="6"/>
      <c r="G32" s="6"/>
      <c r="H32" s="6"/>
      <c r="I32" s="6"/>
      <c r="J32" s="6"/>
    </row>
    <row r="33" spans="2:10" x14ac:dyDescent="0.15">
      <c r="B33" s="6"/>
      <c r="C33" s="9" t="s">
        <v>29</v>
      </c>
      <c r="D33" s="6"/>
      <c r="E33" s="6"/>
      <c r="F33" s="6"/>
      <c r="G33" s="6"/>
      <c r="H33" s="6"/>
      <c r="I33" s="6"/>
      <c r="J33" s="6"/>
    </row>
    <row r="34" spans="2:10" x14ac:dyDescent="0.15">
      <c r="B34" s="6"/>
      <c r="C34" s="6"/>
      <c r="D34" s="6"/>
      <c r="E34" s="6"/>
      <c r="F34" s="6"/>
      <c r="G34" s="6"/>
      <c r="H34" s="6"/>
      <c r="I34" s="6"/>
      <c r="J34" s="6"/>
    </row>
    <row r="35" spans="2:10" x14ac:dyDescent="0.15">
      <c r="B35" s="6"/>
      <c r="C35" s="6"/>
      <c r="D35" s="6"/>
      <c r="E35" s="6"/>
      <c r="F35" s="6"/>
      <c r="G35" s="6"/>
      <c r="H35" s="6"/>
      <c r="I35" s="6"/>
      <c r="J35" s="6"/>
    </row>
    <row r="36" spans="2:10" x14ac:dyDescent="0.15">
      <c r="B36" s="6"/>
      <c r="C36" s="6"/>
      <c r="D36" s="6"/>
      <c r="E36" s="6"/>
      <c r="F36" s="6"/>
      <c r="G36" s="6"/>
      <c r="H36" s="6"/>
      <c r="I36" s="6"/>
      <c r="J36" s="6"/>
    </row>
  </sheetData>
  <sortState ref="L4:N11">
    <sortCondition ref="L4"/>
  </sortState>
  <mergeCells count="2">
    <mergeCell ref="B1:H1"/>
    <mergeCell ref="B2:H2"/>
  </mergeCells>
  <phoneticPr fontId="1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1" r:id="rId4" name="Button 43">
              <controlPr defaultSize="0" print="0" autoFill="0" autoPict="0" macro="[0]!Emergen">
                <anchor moveWithCells="1" sizeWithCells="1">
                  <from>
                    <xdr:col>15</xdr:col>
                    <xdr:colOff>676275</xdr:colOff>
                    <xdr:row>2</xdr:row>
                    <xdr:rowOff>0</xdr:rowOff>
                  </from>
                  <to>
                    <xdr:col>18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5" name="Button 44">
              <controlPr defaultSize="0" print="0" autoFill="0" autoPict="0" macro="[0]!UnEmergen">
                <anchor moveWithCells="1" sizeWithCells="1">
                  <from>
                    <xdr:col>15</xdr:col>
                    <xdr:colOff>676275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I13"/>
  <sheetViews>
    <sheetView workbookViewId="0">
      <selection activeCell="T14" sqref="T14:T15"/>
    </sheetView>
  </sheetViews>
  <sheetFormatPr defaultRowHeight="13.5" x14ac:dyDescent="0.15"/>
  <cols>
    <col min="1" max="1" width="9" style="1"/>
    <col min="2" max="39" width="6.625" style="1" customWidth="1"/>
    <col min="40" max="16384" width="9" style="1"/>
  </cols>
  <sheetData>
    <row r="2" spans="1:9" ht="17.25" x14ac:dyDescent="0.15">
      <c r="A2" s="35" t="s">
        <v>0</v>
      </c>
      <c r="B2" s="35"/>
      <c r="C2" s="35"/>
      <c r="D2" s="35"/>
      <c r="E2" s="35"/>
      <c r="F2" s="35"/>
      <c r="G2" s="35"/>
    </row>
    <row r="3" spans="1:9" ht="13.5" customHeight="1" x14ac:dyDescent="0.15">
      <c r="A3" s="12"/>
      <c r="B3" s="12"/>
      <c r="C3" s="12"/>
      <c r="D3" s="12"/>
      <c r="E3" s="12"/>
      <c r="F3" s="12"/>
      <c r="G3" s="12"/>
    </row>
    <row r="4" spans="1:9" x14ac:dyDescent="0.15">
      <c r="A4" s="2" t="s">
        <v>1</v>
      </c>
      <c r="B4" s="2" t="s">
        <v>37</v>
      </c>
      <c r="C4" s="2" t="s">
        <v>38</v>
      </c>
      <c r="D4" s="2" t="s">
        <v>39</v>
      </c>
      <c r="E4" s="2" t="s">
        <v>40</v>
      </c>
      <c r="F4" s="2" t="s">
        <v>41</v>
      </c>
      <c r="G4" s="2" t="s">
        <v>42</v>
      </c>
      <c r="H4" s="2" t="s">
        <v>8</v>
      </c>
      <c r="I4" s="2" t="s">
        <v>9</v>
      </c>
    </row>
    <row r="5" spans="1:9" ht="20.100000000000001" customHeight="1" x14ac:dyDescent="0.15">
      <c r="A5" s="3" t="s">
        <v>10</v>
      </c>
      <c r="B5" s="4">
        <v>9</v>
      </c>
      <c r="C5" s="4">
        <v>7</v>
      </c>
      <c r="D5" s="4">
        <v>11</v>
      </c>
      <c r="E5" s="4">
        <v>6</v>
      </c>
      <c r="F5" s="4">
        <v>8</v>
      </c>
      <c r="G5" s="4">
        <v>9</v>
      </c>
      <c r="H5" s="4" ph="1"/>
      <c r="I5" s="4"/>
    </row>
    <row r="6" spans="1:9" ht="20.100000000000001" customHeight="1" x14ac:dyDescent="0.15">
      <c r="A6" s="3" t="s">
        <v>11</v>
      </c>
      <c r="B6" s="4">
        <v>7</v>
      </c>
      <c r="C6" s="4">
        <v>5</v>
      </c>
      <c r="D6" s="4">
        <v>6</v>
      </c>
      <c r="E6" s="4">
        <v>9</v>
      </c>
      <c r="F6" s="4">
        <v>3</v>
      </c>
      <c r="G6" s="4">
        <v>12</v>
      </c>
      <c r="H6" s="4"/>
      <c r="I6" s="4"/>
    </row>
    <row r="7" spans="1:9" ht="20.100000000000001" customHeight="1" x14ac:dyDescent="0.15">
      <c r="A7" s="3" t="s">
        <v>12</v>
      </c>
      <c r="B7" s="4">
        <v>11</v>
      </c>
      <c r="C7" s="4">
        <v>8</v>
      </c>
      <c r="D7" s="4">
        <v>7</v>
      </c>
      <c r="E7" s="4">
        <v>12</v>
      </c>
      <c r="F7" s="4">
        <v>11</v>
      </c>
      <c r="G7" s="4">
        <v>13</v>
      </c>
      <c r="H7" s="4"/>
      <c r="I7" s="4"/>
    </row>
    <row r="8" spans="1:9" ht="20.100000000000001" customHeight="1" x14ac:dyDescent="0.15">
      <c r="A8" s="3" t="s">
        <v>13</v>
      </c>
      <c r="B8" s="4">
        <v>4</v>
      </c>
      <c r="C8" s="4">
        <v>2</v>
      </c>
      <c r="D8" s="4">
        <v>3</v>
      </c>
      <c r="E8" s="4">
        <v>4</v>
      </c>
      <c r="F8" s="4">
        <v>4</v>
      </c>
      <c r="G8" s="4">
        <v>5</v>
      </c>
      <c r="H8" s="4"/>
      <c r="I8" s="4"/>
    </row>
    <row r="9" spans="1:9" ht="20.100000000000001" customHeight="1" x14ac:dyDescent="0.15">
      <c r="A9" s="3" t="s">
        <v>14</v>
      </c>
      <c r="B9" s="4">
        <v>8</v>
      </c>
      <c r="C9" s="4">
        <v>10</v>
      </c>
      <c r="D9" s="4">
        <v>7</v>
      </c>
      <c r="E9" s="4">
        <v>8</v>
      </c>
      <c r="F9" s="4">
        <v>7</v>
      </c>
      <c r="G9" s="4">
        <v>8</v>
      </c>
      <c r="H9" s="4"/>
      <c r="I9" s="4"/>
    </row>
    <row r="10" spans="1:9" ht="20.100000000000001" customHeight="1" x14ac:dyDescent="0.15">
      <c r="A10" s="3" t="s">
        <v>15</v>
      </c>
      <c r="B10" s="4">
        <v>10</v>
      </c>
      <c r="C10" s="4">
        <v>8</v>
      </c>
      <c r="D10" s="4">
        <v>9</v>
      </c>
      <c r="E10" s="4">
        <v>11</v>
      </c>
      <c r="F10" s="4">
        <v>8</v>
      </c>
      <c r="G10" s="4">
        <v>7</v>
      </c>
      <c r="H10" s="4"/>
      <c r="I10" s="4"/>
    </row>
    <row r="11" spans="1:9" ht="20.100000000000001" customHeight="1" x14ac:dyDescent="0.15">
      <c r="A11" s="3" t="s">
        <v>43</v>
      </c>
      <c r="B11" s="4">
        <v>7</v>
      </c>
      <c r="C11" s="4">
        <v>8</v>
      </c>
      <c r="D11" s="4">
        <v>7</v>
      </c>
      <c r="E11" s="4">
        <v>8</v>
      </c>
      <c r="F11" s="4">
        <v>7</v>
      </c>
      <c r="G11" s="4">
        <v>6</v>
      </c>
      <c r="H11" s="4"/>
      <c r="I11" s="4"/>
    </row>
    <row r="12" spans="1:9" ht="20.100000000000001" customHeight="1" x14ac:dyDescent="0.15">
      <c r="A12" s="3" t="s">
        <v>17</v>
      </c>
      <c r="B12" s="4">
        <v>10</v>
      </c>
      <c r="C12" s="4">
        <v>9</v>
      </c>
      <c r="D12" s="4">
        <v>11</v>
      </c>
      <c r="E12" s="4">
        <v>13</v>
      </c>
      <c r="F12" s="4">
        <v>12</v>
      </c>
      <c r="G12" s="4">
        <v>14</v>
      </c>
      <c r="H12" s="4"/>
      <c r="I12" s="4"/>
    </row>
    <row r="13" spans="1:9" ht="13.5" customHeight="1" x14ac:dyDescent="0.15"/>
  </sheetData>
  <mergeCells count="1">
    <mergeCell ref="A2:G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workbookViewId="0">
      <selection activeCell="I24" sqref="I24"/>
    </sheetView>
  </sheetViews>
  <sheetFormatPr defaultRowHeight="13.5" x14ac:dyDescent="0.15"/>
  <cols>
    <col min="1" max="1" width="4.5" style="1" customWidth="1"/>
    <col min="2" max="2" width="10.25" style="1" customWidth="1"/>
    <col min="3" max="10" width="6.625" style="1" customWidth="1"/>
    <col min="11" max="16384" width="9" style="1"/>
  </cols>
  <sheetData>
    <row r="1" spans="1:15" ht="17.25" x14ac:dyDescent="0.15">
      <c r="B1" s="35" t="s">
        <v>0</v>
      </c>
      <c r="C1" s="35"/>
      <c r="D1" s="35"/>
      <c r="E1" s="35"/>
      <c r="F1" s="35"/>
      <c r="G1" s="35"/>
      <c r="H1" s="35"/>
    </row>
    <row r="2" spans="1:15" x14ac:dyDescent="0.15">
      <c r="B2" s="36"/>
      <c r="C2" s="36"/>
      <c r="D2" s="36"/>
      <c r="E2" s="36"/>
      <c r="F2" s="36"/>
      <c r="G2" s="36"/>
      <c r="H2" s="36"/>
    </row>
    <row r="3" spans="1:15" ht="21.75" customHeight="1" x14ac:dyDescent="0.15">
      <c r="A3" s="2"/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2" t="s">
        <v>9</v>
      </c>
      <c r="K3" s="13"/>
      <c r="L3" s="8"/>
      <c r="M3" s="8"/>
      <c r="N3" s="8"/>
      <c r="O3" s="8"/>
    </row>
    <row r="4" spans="1:15" ht="21.75" customHeight="1" x14ac:dyDescent="0.15">
      <c r="A4" s="29">
        <v>1</v>
      </c>
      <c r="B4" s="29" t="s">
        <v>50</v>
      </c>
      <c r="C4" s="30">
        <v>9</v>
      </c>
      <c r="D4" s="30">
        <v>7</v>
      </c>
      <c r="E4" s="30">
        <v>11</v>
      </c>
      <c r="F4" s="30">
        <v>6</v>
      </c>
      <c r="G4" s="30">
        <v>8</v>
      </c>
      <c r="H4" s="30">
        <v>9</v>
      </c>
      <c r="I4" s="30"/>
      <c r="J4" s="30"/>
      <c r="K4" s="14"/>
      <c r="O4" s="8"/>
    </row>
    <row r="5" spans="1:15" ht="21.75" customHeight="1" x14ac:dyDescent="0.15">
      <c r="A5" s="31">
        <v>2</v>
      </c>
      <c r="B5" s="31" t="s">
        <v>11</v>
      </c>
      <c r="C5" s="32">
        <v>7</v>
      </c>
      <c r="D5" s="32">
        <v>5</v>
      </c>
      <c r="E5" s="32">
        <v>6</v>
      </c>
      <c r="F5" s="32">
        <v>9</v>
      </c>
      <c r="G5" s="32">
        <v>3</v>
      </c>
      <c r="H5" s="32">
        <v>12</v>
      </c>
      <c r="I5" s="32"/>
      <c r="J5" s="32"/>
      <c r="K5" s="14"/>
      <c r="O5" s="8"/>
    </row>
    <row r="6" spans="1:15" ht="21.75" customHeight="1" x14ac:dyDescent="0.15">
      <c r="A6" s="31">
        <v>3</v>
      </c>
      <c r="B6" s="31" t="s">
        <v>12</v>
      </c>
      <c r="C6" s="32">
        <v>11</v>
      </c>
      <c r="D6" s="32">
        <v>8</v>
      </c>
      <c r="E6" s="32">
        <v>7</v>
      </c>
      <c r="F6" s="32">
        <v>12</v>
      </c>
      <c r="G6" s="32">
        <v>11</v>
      </c>
      <c r="H6" s="32">
        <v>13</v>
      </c>
      <c r="I6" s="32"/>
      <c r="J6" s="32"/>
      <c r="K6" s="14"/>
      <c r="L6" s="8"/>
      <c r="M6" s="8"/>
      <c r="N6" s="8"/>
      <c r="O6" s="8"/>
    </row>
    <row r="7" spans="1:15" ht="21.75" customHeight="1" x14ac:dyDescent="0.15">
      <c r="A7" s="31">
        <v>4</v>
      </c>
      <c r="B7" s="31" t="s">
        <v>13</v>
      </c>
      <c r="C7" s="32">
        <v>4</v>
      </c>
      <c r="D7" s="32">
        <v>2</v>
      </c>
      <c r="E7" s="32">
        <v>3</v>
      </c>
      <c r="F7" s="32">
        <v>4</v>
      </c>
      <c r="G7" s="32">
        <v>4</v>
      </c>
      <c r="H7" s="32">
        <v>5</v>
      </c>
      <c r="I7" s="32"/>
      <c r="J7" s="32"/>
      <c r="K7" s="14"/>
      <c r="L7" s="8"/>
      <c r="M7" s="8"/>
      <c r="N7" s="8"/>
      <c r="O7" s="8"/>
    </row>
    <row r="8" spans="1:15" ht="21.75" customHeight="1" x14ac:dyDescent="0.15">
      <c r="A8" s="31">
        <v>5</v>
      </c>
      <c r="B8" s="31" t="s">
        <v>14</v>
      </c>
      <c r="C8" s="32">
        <v>8</v>
      </c>
      <c r="D8" s="32">
        <v>10</v>
      </c>
      <c r="E8" s="32">
        <v>7</v>
      </c>
      <c r="F8" s="32">
        <v>8</v>
      </c>
      <c r="G8" s="32">
        <v>7</v>
      </c>
      <c r="H8" s="32">
        <v>8</v>
      </c>
      <c r="I8" s="32"/>
      <c r="J8" s="32"/>
      <c r="K8" s="14"/>
      <c r="L8" s="8"/>
      <c r="M8" s="8"/>
      <c r="N8" s="8"/>
      <c r="O8" s="8"/>
    </row>
    <row r="9" spans="1:15" ht="21.75" customHeight="1" x14ac:dyDescent="0.15">
      <c r="A9" s="31">
        <v>6</v>
      </c>
      <c r="B9" s="31" t="s">
        <v>15</v>
      </c>
      <c r="C9" s="32">
        <v>10</v>
      </c>
      <c r="D9" s="32">
        <v>8</v>
      </c>
      <c r="E9" s="32">
        <v>9</v>
      </c>
      <c r="F9" s="32">
        <v>11</v>
      </c>
      <c r="G9" s="32">
        <v>8</v>
      </c>
      <c r="H9" s="32">
        <v>7</v>
      </c>
      <c r="I9" s="32"/>
      <c r="J9" s="32"/>
      <c r="K9" s="14"/>
      <c r="L9" s="8"/>
      <c r="M9" s="8"/>
      <c r="N9" s="8"/>
      <c r="O9" s="8"/>
    </row>
    <row r="10" spans="1:15" ht="21.75" customHeight="1" x14ac:dyDescent="0.15">
      <c r="A10" s="31">
        <v>7</v>
      </c>
      <c r="B10" s="31" t="s">
        <v>43</v>
      </c>
      <c r="C10" s="32">
        <v>7</v>
      </c>
      <c r="D10" s="32">
        <v>8</v>
      </c>
      <c r="E10" s="32">
        <v>7</v>
      </c>
      <c r="F10" s="32">
        <v>8</v>
      </c>
      <c r="G10" s="32">
        <v>7</v>
      </c>
      <c r="H10" s="32">
        <v>6</v>
      </c>
      <c r="I10" s="32"/>
      <c r="J10" s="32"/>
      <c r="K10" s="14"/>
      <c r="L10" s="8"/>
      <c r="M10" s="8"/>
      <c r="N10" s="8"/>
      <c r="O10" s="8"/>
    </row>
    <row r="11" spans="1:15" ht="21.75" customHeight="1" x14ac:dyDescent="0.15">
      <c r="A11" s="33">
        <v>8</v>
      </c>
      <c r="B11" s="33" t="s">
        <v>17</v>
      </c>
      <c r="C11" s="34">
        <v>10</v>
      </c>
      <c r="D11" s="34">
        <v>9</v>
      </c>
      <c r="E11" s="34">
        <v>11</v>
      </c>
      <c r="F11" s="34">
        <v>13</v>
      </c>
      <c r="G11" s="34">
        <v>12</v>
      </c>
      <c r="H11" s="34">
        <v>14</v>
      </c>
      <c r="I11" s="34"/>
      <c r="J11" s="34"/>
      <c r="K11" s="14"/>
      <c r="L11" s="8"/>
      <c r="M11" s="8"/>
      <c r="N11" s="8"/>
      <c r="O11" s="8"/>
    </row>
    <row r="13" spans="1:15" x14ac:dyDescent="0.15">
      <c r="A13" s="2"/>
      <c r="B13" s="2" t="s">
        <v>1</v>
      </c>
      <c r="C13" s="2" t="s">
        <v>2</v>
      </c>
      <c r="D13" s="2" t="s">
        <v>3</v>
      </c>
      <c r="E13" s="2" t="s">
        <v>4</v>
      </c>
      <c r="F13" s="2" t="s">
        <v>5</v>
      </c>
      <c r="G13" s="2" t="s">
        <v>6</v>
      </c>
      <c r="H13" s="2" t="s">
        <v>7</v>
      </c>
      <c r="I13" s="2" t="s">
        <v>8</v>
      </c>
      <c r="J13" s="2" t="s">
        <v>9</v>
      </c>
    </row>
    <row r="14" spans="1:15" ht="25.5" customHeight="1" x14ac:dyDescent="0.15">
      <c r="A14" s="27"/>
      <c r="B14" s="3" t="s">
        <v>50</v>
      </c>
      <c r="C14" s="26">
        <f>VLOOKUP(B14,B4:J11,2)</f>
        <v>7</v>
      </c>
      <c r="D14" s="27"/>
      <c r="E14" s="27"/>
      <c r="F14" s="27"/>
      <c r="G14" s="27"/>
      <c r="H14" s="27"/>
      <c r="I14" s="27"/>
      <c r="J14" s="27"/>
      <c r="K14" s="28"/>
      <c r="L14" s="25"/>
    </row>
    <row r="15" spans="1:15" ht="26.25" customHeight="1" x14ac:dyDescent="0.15">
      <c r="A15" s="6">
        <f>INDEX($A$4:$A$11,MATCH(B14,$B$4:$B$11,0))</f>
        <v>1</v>
      </c>
      <c r="B15" s="6" t="s">
        <v>51</v>
      </c>
      <c r="C15" s="6"/>
      <c r="D15" s="6"/>
      <c r="E15" s="6"/>
      <c r="F15" s="6"/>
      <c r="G15" s="6"/>
      <c r="H15" s="6"/>
      <c r="I15" s="6"/>
      <c r="J15" s="6"/>
      <c r="K15" s="25"/>
      <c r="L15" s="25"/>
    </row>
    <row r="16" spans="1:15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25"/>
      <c r="L16" s="25"/>
    </row>
    <row r="17" spans="1:12" x14ac:dyDescent="0.15">
      <c r="A17" s="6"/>
      <c r="B17" s="6"/>
      <c r="C17" s="6"/>
      <c r="D17" s="6"/>
      <c r="E17" s="6"/>
      <c r="F17" s="6"/>
      <c r="G17" s="6"/>
      <c r="H17" s="6"/>
      <c r="I17" s="6"/>
      <c r="J17" s="6"/>
      <c r="K17" s="25"/>
      <c r="L17" s="25"/>
    </row>
    <row r="18" spans="1:12" ht="14.25" thickBot="1" x14ac:dyDescent="0.2">
      <c r="A18" s="6"/>
      <c r="B18" s="6" t="s">
        <v>19</v>
      </c>
      <c r="C18" s="6" t="s">
        <v>20</v>
      </c>
      <c r="D18" s="6"/>
      <c r="E18" s="6"/>
      <c r="F18" s="6"/>
      <c r="G18" s="6"/>
      <c r="H18" s="6"/>
      <c r="I18" s="6"/>
      <c r="J18" s="6"/>
      <c r="K18" s="25"/>
      <c r="L18" s="25"/>
    </row>
    <row r="19" spans="1:12" x14ac:dyDescent="0.15">
      <c r="A19" s="6"/>
      <c r="B19" s="6"/>
      <c r="C19" s="15" t="s">
        <v>21</v>
      </c>
      <c r="D19" s="16"/>
      <c r="E19" s="6"/>
      <c r="F19" s="6"/>
      <c r="G19" s="6"/>
      <c r="H19" s="6"/>
      <c r="I19" s="6"/>
      <c r="J19" s="6"/>
      <c r="K19" s="25"/>
      <c r="L19" s="25"/>
    </row>
    <row r="20" spans="1:12" x14ac:dyDescent="0.15">
      <c r="A20" s="6"/>
      <c r="B20" s="6"/>
      <c r="C20" s="17" t="s">
        <v>22</v>
      </c>
      <c r="D20" s="18"/>
      <c r="E20" s="6"/>
      <c r="F20" s="6"/>
      <c r="G20" s="6"/>
      <c r="H20" s="6"/>
      <c r="I20" s="6"/>
      <c r="J20" s="6"/>
      <c r="K20" s="25"/>
      <c r="L20" s="25"/>
    </row>
    <row r="21" spans="1:12" x14ac:dyDescent="0.15">
      <c r="A21" s="6"/>
      <c r="B21" s="6"/>
      <c r="C21" s="17" t="s">
        <v>23</v>
      </c>
      <c r="D21" s="18"/>
      <c r="E21" s="6"/>
      <c r="F21" s="6"/>
      <c r="G21" s="6"/>
      <c r="H21" s="6"/>
      <c r="I21" s="6"/>
      <c r="J21" s="6"/>
      <c r="K21" s="25"/>
      <c r="L21" s="25"/>
    </row>
    <row r="22" spans="1:12" x14ac:dyDescent="0.15">
      <c r="A22" s="6"/>
      <c r="B22" s="6"/>
      <c r="C22" s="17" t="s">
        <v>24</v>
      </c>
      <c r="D22" s="18"/>
      <c r="E22" s="6"/>
      <c r="F22" s="6"/>
      <c r="G22" s="6"/>
      <c r="H22" s="6"/>
      <c r="I22" s="6"/>
      <c r="J22" s="6"/>
      <c r="K22" s="25"/>
      <c r="L22" s="25"/>
    </row>
    <row r="23" spans="1:12" ht="14.25" thickBot="1" x14ac:dyDescent="0.2">
      <c r="A23" s="6"/>
      <c r="B23" s="6"/>
      <c r="C23" s="19" t="s">
        <v>25</v>
      </c>
      <c r="D23" s="20"/>
      <c r="E23" s="6"/>
      <c r="F23" s="6"/>
      <c r="G23" s="6"/>
      <c r="H23" s="6"/>
      <c r="I23" s="6"/>
      <c r="J23" s="6"/>
      <c r="K23" s="25"/>
      <c r="L23" s="25"/>
    </row>
    <row r="24" spans="1:12" x14ac:dyDescent="0.15">
      <c r="A24" s="6"/>
      <c r="B24" s="6"/>
      <c r="C24" s="6"/>
      <c r="D24" s="6"/>
      <c r="E24" s="6"/>
      <c r="F24" s="6"/>
      <c r="G24" s="6"/>
      <c r="H24" s="6"/>
      <c r="I24" s="6"/>
      <c r="J24" s="6"/>
      <c r="K24" s="25"/>
      <c r="L24" s="25"/>
    </row>
    <row r="25" spans="1:12" x14ac:dyDescent="0.15">
      <c r="A25" s="6"/>
      <c r="B25" s="6"/>
      <c r="C25" s="21" t="s">
        <v>26</v>
      </c>
      <c r="D25" s="22"/>
      <c r="E25" s="6"/>
      <c r="F25" s="6"/>
      <c r="G25" s="6"/>
      <c r="H25" s="6"/>
      <c r="I25" s="6"/>
      <c r="J25" s="6"/>
      <c r="K25" s="25"/>
      <c r="L25" s="25"/>
    </row>
    <row r="26" spans="1:12" x14ac:dyDescent="0.15">
      <c r="A26" s="6"/>
      <c r="B26" s="6"/>
      <c r="C26" s="23" t="s">
        <v>27</v>
      </c>
      <c r="D26" s="24"/>
      <c r="E26" s="6"/>
      <c r="F26" s="6"/>
      <c r="G26" s="6"/>
      <c r="H26" s="6"/>
      <c r="I26" s="6"/>
      <c r="J26" s="6"/>
      <c r="K26" s="25"/>
      <c r="L26" s="25"/>
    </row>
    <row r="27" spans="1:12" x14ac:dyDescent="0.15">
      <c r="A27" s="6"/>
      <c r="B27" s="6"/>
      <c r="C27" s="6"/>
      <c r="D27" s="6"/>
      <c r="E27" s="6"/>
      <c r="F27" s="6"/>
      <c r="G27" s="6"/>
      <c r="H27" s="6"/>
      <c r="I27" s="6"/>
      <c r="J27" s="6"/>
      <c r="K27" s="25"/>
      <c r="L27" s="25"/>
    </row>
    <row r="28" spans="1:12" x14ac:dyDescent="0.15">
      <c r="A28" s="6"/>
      <c r="B28" s="6"/>
      <c r="C28" s="6"/>
      <c r="D28" s="6"/>
      <c r="E28" s="6"/>
      <c r="F28" s="6"/>
      <c r="G28" s="6"/>
      <c r="H28" s="6"/>
      <c r="I28" s="6"/>
      <c r="J28" s="6"/>
      <c r="K28" s="25"/>
      <c r="L28" s="25"/>
    </row>
    <row r="29" spans="1:12" x14ac:dyDescent="0.15">
      <c r="A29" s="6"/>
      <c r="B29" s="6"/>
      <c r="C29" s="6"/>
      <c r="D29" s="6"/>
      <c r="E29" s="6"/>
      <c r="F29" s="6"/>
      <c r="G29" s="6"/>
      <c r="H29" s="6"/>
      <c r="I29" s="6"/>
      <c r="J29" s="6"/>
      <c r="K29" s="25"/>
      <c r="L29" s="25"/>
    </row>
    <row r="30" spans="1:12" x14ac:dyDescent="0.15">
      <c r="A30" s="6"/>
      <c r="B30" s="6"/>
      <c r="C30" s="6"/>
      <c r="D30" s="6"/>
      <c r="E30" s="6"/>
      <c r="F30" s="6"/>
      <c r="G30" s="6"/>
      <c r="H30" s="6"/>
      <c r="I30" s="6"/>
      <c r="J30" s="6"/>
      <c r="K30" s="25"/>
      <c r="L30" s="25"/>
    </row>
    <row r="31" spans="1:12" x14ac:dyDescent="0.15">
      <c r="A31" s="6"/>
      <c r="B31" s="6"/>
      <c r="C31" s="6"/>
      <c r="D31" s="6"/>
      <c r="E31" s="6"/>
      <c r="F31" s="6"/>
      <c r="G31" s="6"/>
      <c r="H31" s="6"/>
      <c r="I31" s="6"/>
      <c r="J31" s="6"/>
      <c r="K31" s="25"/>
      <c r="L31" s="25"/>
    </row>
    <row r="32" spans="1:12" x14ac:dyDescent="0.1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1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15">
      <c r="A34" s="2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15">
      <c r="A35" s="25"/>
      <c r="B35" s="6"/>
      <c r="C35" s="9" t="s">
        <v>28</v>
      </c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15">
      <c r="A36" s="25"/>
      <c r="B36" s="6"/>
      <c r="C36" s="9" t="s">
        <v>29</v>
      </c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15">
      <c r="A37" s="2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15">
      <c r="A38" s="2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15">
      <c r="A39" s="2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1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</row>
    <row r="41" spans="1:12" x14ac:dyDescent="0.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</row>
    <row r="42" spans="1:12" x14ac:dyDescent="0.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</row>
    <row r="43" spans="1:12" x14ac:dyDescent="0.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</row>
    <row r="44" spans="1:12" x14ac:dyDescent="0.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</row>
    <row r="45" spans="1:12" x14ac:dyDescent="0.1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</row>
    <row r="46" spans="1:12" x14ac:dyDescent="0.1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</row>
    <row r="47" spans="1:12" x14ac:dyDescent="0.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</row>
  </sheetData>
  <mergeCells count="2">
    <mergeCell ref="B1:H1"/>
    <mergeCell ref="B2:H2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CB4AB-B0FF-4146-808B-DB2940631984}">
  <sheetPr codeName="Sheet4"/>
  <dimension ref="A1:B4"/>
  <sheetViews>
    <sheetView tabSelected="1" workbookViewId="0">
      <selection activeCell="K8" sqref="K8"/>
    </sheetView>
  </sheetViews>
  <sheetFormatPr defaultRowHeight="13.5" x14ac:dyDescent="0.15"/>
  <sheetData>
    <row r="1" spans="1:2" x14ac:dyDescent="0.15">
      <c r="A1" s="40"/>
      <c r="B1" s="40"/>
    </row>
    <row r="2" spans="1:2" x14ac:dyDescent="0.15">
      <c r="A2" s="40"/>
      <c r="B2" s="40"/>
    </row>
    <row r="3" spans="1:2" x14ac:dyDescent="0.15">
      <c r="A3" s="40"/>
      <c r="B3" s="40"/>
    </row>
    <row r="4" spans="1:2" x14ac:dyDescent="0.15">
      <c r="A4" s="40"/>
      <c r="B4" s="4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5</xdr:col>
                <xdr:colOff>28575</xdr:colOff>
                <xdr:row>6</xdr:row>
                <xdr:rowOff>47625</xdr:rowOff>
              </from>
              <to>
                <xdr:col>9</xdr:col>
                <xdr:colOff>95250</xdr:colOff>
                <xdr:row>11</xdr:row>
                <xdr:rowOff>161925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マクロの操作</vt:lpstr>
      <vt:lpstr>マクロ課題</vt:lpstr>
      <vt:lpstr>マクロ参考</vt:lpstr>
      <vt:lpstr>VBA課題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2021-04-21T05:05:36Z</dcterms:modified>
</cp:coreProperties>
</file>